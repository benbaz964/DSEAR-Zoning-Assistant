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Ben Barrell\AppData\Local\Temp\claude\c--Users-Ben-Barrell-Documents-process-intelligence-platform\9607382e-c777-4d4b-be50-2c889f12b3c0\scratchpad\work\"/>
    </mc:Choice>
  </mc:AlternateContent>
  <xr:revisionPtr revIDLastSave="0" documentId="8_{6EDC26BD-0A55-48E6-947E-C676F2420EA6}" xr6:coauthVersionLast="47" xr6:coauthVersionMax="47" xr10:uidLastSave="{00000000-0000-0000-0000-000000000000}"/>
  <bookViews>
    <workbookView xWindow="760" yWindow="760" windowWidth="14400" windowHeight="8170" tabRatio="500" xr2:uid="{00000000-000D-0000-FFFF-FFFF00000000}"/>
  </bookViews>
  <sheets>
    <sheet name="Quick Zone" sheetId="1" r:id="rId1"/>
    <sheet name="Read Me" sheetId="2" r:id="rId2"/>
    <sheet name="Gas-Vapour" sheetId="3" r:id="rId3"/>
    <sheet name="Dust" sheetId="4" r:id="rId4"/>
    <sheet name="Substances" sheetId="5" r:id="rId5"/>
    <sheet name="Dusts" sheetId="6" r:id="rId6"/>
    <sheet name="Tables" sheetId="7" r:id="rId7"/>
    <sheet name="Quick Zone Calc" sheetId="8" r:id="rId8"/>
  </sheets>
  <definedNames>
    <definedName name="_xlnm.Print_Area" localSheetId="3">Dust!$A$1:$S$45</definedName>
    <definedName name="_xlnm.Print_Area" localSheetId="5">Dusts!$A$1:$N$40</definedName>
    <definedName name="_xlnm.Print_Area" localSheetId="2">'Gas-Vapour'!$A$1:$AW$57</definedName>
    <definedName name="_xlnm.Print_Area" localSheetId="0">'Quick Zone'!$A$1:$K$53</definedName>
    <definedName name="_xlnm.Print_Area" localSheetId="7">'Quick Zone Calc'!$A$1:$Y$123</definedName>
    <definedName name="_xlnm.Print_Area" localSheetId="4">Substances!$A$1:$U$60</definedName>
    <definedName name="_xlnm.Print_Area" localSheetId="6">Tables!$A$1:$J$50</definedName>
    <definedName name="QZ_ACH">'Quick Zone'!$C$13</definedName>
    <definedName name="QZ_ACHFail">'Quick Zone'!$C$15</definedName>
    <definedName name="QZ_Activity">'Quick Zone'!$C$8</definedName>
    <definedName name="QZ_AIT">'Quick Zone Calc'!$C$13</definedName>
    <definedName name="QZ_Amount">'Quick Zone'!$C$7</definedName>
    <definedName name="QZ_AntA">'Quick Zone Calc'!$C$15</definedName>
    <definedName name="QZ_AntB">'Quick Zone Calc'!$C$16</definedName>
    <definedName name="QZ_AntC">'Quick Zone Calc'!$C$17</definedName>
    <definedName name="QZ_AtBP">'Quick Zone Calc'!$C$31</definedName>
    <definedName name="QZ_Avail">'Quick Zone'!$C$14</definedName>
    <definedName name="QZ_Basis0">'Quick Zone Calc'!$C$110</definedName>
    <definedName name="QZ_Basis1">'Quick Zone Calc'!$C$115</definedName>
    <definedName name="QZ_Basis2">'Quick Zone Calc'!$C$120</definedName>
    <definedName name="QZ_BelowFP">'Quick Zone Calc'!$C$30</definedName>
    <definedName name="QZ_BP">'Quick Zone Calc'!$C$11</definedName>
    <definedName name="QZ_BundArea">'Quick Zone'!$C$19</definedName>
    <definedName name="QZ_C">'Quick Zone Calc'!$C$27</definedName>
    <definedName name="QZ_C2">'Quick Zone Calc'!$C$28</definedName>
    <definedName name="QZ_Capped0">'Quick Zone Calc'!$C$109</definedName>
    <definedName name="QZ_Capped1">'Quick Zone Calc'!$C$114</definedName>
    <definedName name="QZ_Capped2">'Quick Zone Calc'!$C$119</definedName>
    <definedName name="QZ_Cd">'Quick Zone'!$C$29</definedName>
    <definedName name="QZ_DispRate">'Quick Zone Calc'!$C$42</definedName>
    <definedName name="QZ_EPL0">'Quick Zone Calc'!$C$98</definedName>
    <definedName name="QZ_EPL1">'Quick Zone Calc'!$C$99</definedName>
    <definedName name="QZ_EPL2">'Quick Zone Calc'!$C$100</definedName>
    <definedName name="QZ_Equip">'Quick Zone Calc'!$C$122</definedName>
    <definedName name="QZ_EvapFlux">'Quick Zone Calc'!$C$40</definedName>
    <definedName name="QZ_f">'Quick Zone Calc'!$C$26</definedName>
    <definedName name="QZ_FillRate">'Quick Zone'!$C$23</definedName>
    <definedName name="QZ_fIn">'Quick Zone'!$C$26</definedName>
    <definedName name="QZ_fOut">'Quick Zone'!$C$27</definedName>
    <definedName name="QZ_FP">'Quick Zone Calc'!$C$12</definedName>
    <definedName name="QZ_FPMargin">'Quick Zone'!$C$30</definedName>
    <definedName name="QZ_Gamma">'Quick Zone Calc'!$C$9</definedName>
    <definedName name="QZ_Gov0">'Quick Zone Calc'!$C$106</definedName>
    <definedName name="QZ_Gov1">'Quick Zone Calc'!$C$111</definedName>
    <definedName name="QZ_Gov2">'Quick Zone Calc'!$C$116</definedName>
    <definedName name="QZ_GovSized0">'Quick Zone Calc'!$C$107</definedName>
    <definedName name="QZ_GovSized1">'Quick Zone Calc'!$C$112</definedName>
    <definedName name="QZ_GovSized2">'Quick Zone Calc'!$C$117</definedName>
    <definedName name="QZ_Group">'Quick Zone Calc'!$C$14</definedName>
    <definedName name="QZ_Headline">'Quick Zone Calc'!$C$82</definedName>
    <definedName name="QZ_Heavy">'Quick Zone Calc'!$C$24</definedName>
    <definedName name="QZ_HoleArea">'Quick Zone'!$C$28</definedName>
    <definedName name="QZ_Interior">'Quick Zone Calc'!$C$32</definedName>
    <definedName name="QZ_IsGas">'Quick Zone Calc'!$C$6</definedName>
    <definedName name="QZ_LELm">'Quick Zone Calc'!$C$22</definedName>
    <definedName name="QZ_LFL">'Quick Zone Calc'!$C$8</definedName>
    <definedName name="QZ_Limited">'Quick Zone Calc'!$C$105</definedName>
    <definedName name="QZ_Location">'Quick Zone'!$C$9</definedName>
    <definedName name="QZ_Low">'Quick Zone Calc'!$C$104</definedName>
    <definedName name="QZ_M">'Quick Zone Calc'!$C$7</definedName>
    <definedName name="QZ_M_All">'Quick Zone Calc'!$C$48</definedName>
    <definedName name="QZ_M_Charge">'Quick Zone Calc'!$C$50</definedName>
    <definedName name="QZ_M_Fill">'Quick Zone Calc'!$C$49</definedName>
    <definedName name="QZ_MouthArea">'Quick Zone'!$C$20</definedName>
    <definedName name="QZ_NE0">'Quick Zone Calc'!$C$89</definedName>
    <definedName name="QZ_NE1">'Quick Zone Calc'!$C$90</definedName>
    <definedName name="QZ_NE2">'Quick Zone Calc'!$C$91</definedName>
    <definedName name="QZ_Notes">'Quick Zone Calc'!$C$123</definedName>
    <definedName name="QZ_Outdoor">'Quick Zone Calc'!$C$25</definedName>
    <definedName name="QZ_Outer0">'Quick Zone Calc'!$C$108</definedName>
    <definedName name="QZ_Outer1">'Quick Zone Calc'!$C$113</definedName>
    <definedName name="QZ_Outer2">'Quick Zone Calc'!$C$118</definedName>
    <definedName name="QZ_P0">'Quick Zone Calc'!$C$101</definedName>
    <definedName name="QZ_P1">'Quick Zone Calc'!$C$102</definedName>
    <definedName name="QZ_P2">'Quick Zone Calc'!$C$103</definedName>
    <definedName name="QZ_PAbs">'Quick Zone Calc'!$C$37</definedName>
    <definedName name="QZ_Pc">'Quick Zone Calc'!$C$38</definedName>
    <definedName name="QZ_Phase">'Quick Zone Calc'!$C$5</definedName>
    <definedName name="QZ_Pres0">'Quick Zone Calc'!$C$95</definedName>
    <definedName name="QZ_Pres1">'Quick Zone Calc'!$C$96</definedName>
    <definedName name="QZ_Pres2">'Quick Zone Calc'!$C$97</definedName>
    <definedName name="QZ_Pressure">'Quick Zone'!$C$11</definedName>
    <definedName name="QZ_Pv">'Quick Zone Calc'!$C$19</definedName>
    <definedName name="QZ_R0">'Quick Zone Calc'!$C$83</definedName>
    <definedName name="QZ_R1">'Quick Zone Calc'!$C$84</definedName>
    <definedName name="QZ_R2">'Quick Zone Calc'!$C$85</definedName>
    <definedName name="QZ_RawZ0">'Quick Zone Calc'!$C$86</definedName>
    <definedName name="QZ_RawZ1">'Quick Zone Calc'!$C$87</definedName>
    <definedName name="QZ_RawZ2">'Quick Zone Calc'!$C$88</definedName>
    <definedName name="QZ_RelDens">'Quick Zone Calc'!$C$23</definedName>
    <definedName name="QZ_Rho">'Quick Zone Calc'!$C$10</definedName>
    <definedName name="QZ_RhoSat">'Quick Zone Calc'!$C$21</definedName>
    <definedName name="QZ_RoomR">'Quick Zone Calc'!$C$34</definedName>
    <definedName name="QZ_RoomVol">'Quick Zone'!$C$12</definedName>
    <definedName name="QZ_SatConc">'Quick Zone Calc'!$C$20</definedName>
    <definedName name="QZ_Sel">'Quick Zone Calc'!$C$81</definedName>
    <definedName name="QZ_SpillArea">'Quick Zone Calc'!$C$41</definedName>
    <definedName name="QZ_SpillDepth">'Quick Zone'!$C$18</definedName>
    <definedName name="QZ_SpillTime">'Quick Zone Calc'!$C$51</definedName>
    <definedName name="QZ_SrcApplies">'Quick Zone Calc'!$E$55:$E$69</definedName>
    <definedName name="QZ_SrcCapIn">'Quick Zone Calc'!$N$55:$N$69</definedName>
    <definedName name="QZ_SrcCapOut">'Quick Zone Calc'!$W$55:$W$69</definedName>
    <definedName name="QZ_SrcD1">'Quick Zone Calc'!$P$55:$P$69</definedName>
    <definedName name="QZ_SrcDeg">'Quick Zone Calc'!$O$55:$O$69</definedName>
    <definedName name="QZ_SrcInner">'Quick Zone Calc'!$Q$55:$Q$69</definedName>
    <definedName name="QZ_SrcRate">'Quick Zone Calc'!$G$55:$G$69</definedName>
    <definedName name="QZ_SrcSized">'Quick Zone Calc'!$F$55:$F$69</definedName>
    <definedName name="QZ_SrcText">'Quick Zone Calc'!$D$55:$D$69</definedName>
    <definedName name="QZ_SrcToZ0">'Quick Zone Calc'!$AA$55:$AA$69</definedName>
    <definedName name="QZ_SrcToZ1">'Quick Zone Calc'!$AB$55:$AB$69</definedName>
    <definedName name="QZ_SrcToZ2">'Quick Zone Calc'!$AC$55:$AC$69</definedName>
    <definedName name="QZ_SrcVz">'Quick Zone Calc'!$M$55:$M$69</definedName>
    <definedName name="QZ_Subline">'Quick Zone Calc'!$C$121</definedName>
    <definedName name="QZ_Substance">'Quick Zone'!$C$6</definedName>
    <definedName name="QZ_TClass">'Quick Zone Calc'!$C$33</definedName>
    <definedName name="QZ_Temp">'Quick Zone'!$C$10</definedName>
    <definedName name="QZ_TK">'Quick Zone Calc'!$C$18</definedName>
    <definedName name="QZ_U">'Quick Zone Calc'!$C$29</definedName>
    <definedName name="QZ_UIn">'Quick Zone'!$C$24</definedName>
    <definedName name="QZ_UOut">'Quick Zone'!$C$25</definedName>
    <definedName name="QZ_VesselArea">'Quick Zone'!$C$21</definedName>
    <definedName name="QZ_W_Charge">'Quick Zone Calc'!$C$46</definedName>
    <definedName name="QZ_W_Fill">'Quick Zone Calc'!$C$44</definedName>
    <definedName name="QZ_W_Spill">'Quick Zone Calc'!$C$43</definedName>
    <definedName name="QZ_W_Surface">'Quick Zone Calc'!$C$45</definedName>
    <definedName name="QZ_W_Wipe">'Quick Zone Calc'!$C$47</definedName>
    <definedName name="QZ_WetArea">'Quick Zone'!$C$22</definedName>
    <definedName name="QZ_WHole">'Quick Zone Calc'!$C$39</definedName>
    <definedName name="QZ_Z0Text">'Quick Zone Calc'!$C$92</definedName>
    <definedName name="QZ_Z1Text">'Quick Zone Calc'!$C$93</definedName>
    <definedName name="QZ_Z2Text">'Quick Zone Calc'!$C$94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1" i="8" l="1"/>
  <c r="B78" i="8"/>
  <c r="B77" i="8"/>
  <c r="B76" i="8"/>
  <c r="B75" i="8"/>
  <c r="B74" i="8"/>
  <c r="I69" i="8"/>
  <c r="E69" i="8"/>
  <c r="B69" i="8"/>
  <c r="E68" i="8"/>
  <c r="I68" i="8" s="1"/>
  <c r="B68" i="8"/>
  <c r="H67" i="8"/>
  <c r="G67" i="8"/>
  <c r="B67" i="8"/>
  <c r="E66" i="8"/>
  <c r="B66" i="8"/>
  <c r="AC65" i="8"/>
  <c r="Q65" i="8"/>
  <c r="P65" i="8"/>
  <c r="H65" i="8"/>
  <c r="G65" i="8"/>
  <c r="E65" i="8"/>
  <c r="Y65" i="8" s="1"/>
  <c r="B65" i="8"/>
  <c r="E64" i="8"/>
  <c r="B64" i="8"/>
  <c r="E63" i="8"/>
  <c r="B63" i="8"/>
  <c r="E62" i="8"/>
  <c r="B62" i="8"/>
  <c r="E61" i="8"/>
  <c r="I61" i="8" s="1"/>
  <c r="B61" i="8"/>
  <c r="E60" i="8"/>
  <c r="B60" i="8"/>
  <c r="E59" i="8"/>
  <c r="I59" i="8" s="1"/>
  <c r="Y59" i="8" s="1"/>
  <c r="B59" i="8"/>
  <c r="H58" i="8"/>
  <c r="G58" i="8"/>
  <c r="B58" i="8"/>
  <c r="E57" i="8"/>
  <c r="B57" i="8"/>
  <c r="AC56" i="8"/>
  <c r="AA56" i="8"/>
  <c r="X56" i="8"/>
  <c r="W56" i="8"/>
  <c r="V56" i="8"/>
  <c r="U56" i="8"/>
  <c r="O56" i="8"/>
  <c r="N56" i="8"/>
  <c r="M56" i="8"/>
  <c r="L56" i="8"/>
  <c r="K56" i="8"/>
  <c r="J56" i="8"/>
  <c r="H56" i="8"/>
  <c r="G56" i="8"/>
  <c r="E56" i="8"/>
  <c r="T56" i="8" s="1"/>
  <c r="B56" i="8"/>
  <c r="H55" i="8"/>
  <c r="G55" i="8"/>
  <c r="B55" i="8"/>
  <c r="C34" i="8"/>
  <c r="C29" i="8"/>
  <c r="C28" i="8"/>
  <c r="C27" i="8"/>
  <c r="C26" i="8"/>
  <c r="C25" i="8"/>
  <c r="C18" i="8"/>
  <c r="C17" i="8"/>
  <c r="C16" i="8"/>
  <c r="C15" i="8"/>
  <c r="C14" i="8"/>
  <c r="C13" i="8"/>
  <c r="C33" i="8" s="1"/>
  <c r="C122" i="8" s="1"/>
  <c r="G15" i="1" s="1"/>
  <c r="C12" i="8"/>
  <c r="C11" i="8"/>
  <c r="C10" i="8"/>
  <c r="C9" i="8"/>
  <c r="C8" i="8"/>
  <c r="C7" i="8"/>
  <c r="C23" i="8" s="1"/>
  <c r="C24" i="8" s="1"/>
  <c r="C5" i="8"/>
  <c r="S45" i="4"/>
  <c r="R45" i="4"/>
  <c r="Q45" i="4"/>
  <c r="P45" i="4"/>
  <c r="O45" i="4"/>
  <c r="N45" i="4"/>
  <c r="M45" i="4"/>
  <c r="L45" i="4"/>
  <c r="K45" i="4"/>
  <c r="J45" i="4"/>
  <c r="I45" i="4"/>
  <c r="H45" i="4"/>
  <c r="S44" i="4"/>
  <c r="R44" i="4"/>
  <c r="Q44" i="4"/>
  <c r="P44" i="4"/>
  <c r="O44" i="4"/>
  <c r="N44" i="4"/>
  <c r="M44" i="4"/>
  <c r="L44" i="4"/>
  <c r="K44" i="4"/>
  <c r="J44" i="4"/>
  <c r="I44" i="4"/>
  <c r="H44" i="4"/>
  <c r="S43" i="4"/>
  <c r="R43" i="4"/>
  <c r="Q43" i="4"/>
  <c r="P43" i="4"/>
  <c r="O43" i="4"/>
  <c r="N43" i="4"/>
  <c r="M43" i="4"/>
  <c r="L43" i="4"/>
  <c r="K43" i="4"/>
  <c r="J43" i="4"/>
  <c r="I43" i="4"/>
  <c r="H43" i="4"/>
  <c r="S42" i="4"/>
  <c r="R42" i="4"/>
  <c r="Q42" i="4"/>
  <c r="P42" i="4"/>
  <c r="O42" i="4"/>
  <c r="N42" i="4"/>
  <c r="M42" i="4"/>
  <c r="L42" i="4"/>
  <c r="K42" i="4"/>
  <c r="J42" i="4"/>
  <c r="I42" i="4"/>
  <c r="H42" i="4"/>
  <c r="S41" i="4"/>
  <c r="R41" i="4"/>
  <c r="Q41" i="4"/>
  <c r="P41" i="4"/>
  <c r="O41" i="4"/>
  <c r="N41" i="4"/>
  <c r="M41" i="4"/>
  <c r="L41" i="4"/>
  <c r="K41" i="4"/>
  <c r="J41" i="4"/>
  <c r="I41" i="4"/>
  <c r="H41" i="4"/>
  <c r="S40" i="4"/>
  <c r="R40" i="4"/>
  <c r="Q40" i="4"/>
  <c r="P40" i="4"/>
  <c r="O40" i="4"/>
  <c r="N40" i="4"/>
  <c r="M40" i="4"/>
  <c r="L40" i="4"/>
  <c r="K40" i="4"/>
  <c r="J40" i="4"/>
  <c r="I40" i="4"/>
  <c r="H40" i="4"/>
  <c r="S39" i="4"/>
  <c r="R39" i="4"/>
  <c r="Q39" i="4"/>
  <c r="P39" i="4"/>
  <c r="O39" i="4"/>
  <c r="N39" i="4"/>
  <c r="M39" i="4"/>
  <c r="L39" i="4"/>
  <c r="K39" i="4"/>
  <c r="J39" i="4"/>
  <c r="I39" i="4"/>
  <c r="H39" i="4"/>
  <c r="S38" i="4"/>
  <c r="R38" i="4"/>
  <c r="Q38" i="4"/>
  <c r="P38" i="4"/>
  <c r="O38" i="4"/>
  <c r="N38" i="4"/>
  <c r="M38" i="4"/>
  <c r="L38" i="4"/>
  <c r="K38" i="4"/>
  <c r="J38" i="4"/>
  <c r="I38" i="4"/>
  <c r="H38" i="4"/>
  <c r="S37" i="4"/>
  <c r="R37" i="4"/>
  <c r="Q37" i="4"/>
  <c r="P37" i="4"/>
  <c r="O37" i="4"/>
  <c r="N37" i="4"/>
  <c r="M37" i="4"/>
  <c r="L37" i="4"/>
  <c r="K37" i="4"/>
  <c r="J37" i="4"/>
  <c r="I37" i="4"/>
  <c r="H37" i="4"/>
  <c r="S36" i="4"/>
  <c r="R36" i="4"/>
  <c r="Q36" i="4"/>
  <c r="P36" i="4"/>
  <c r="O36" i="4"/>
  <c r="N36" i="4"/>
  <c r="M36" i="4"/>
  <c r="L36" i="4"/>
  <c r="K36" i="4"/>
  <c r="J36" i="4"/>
  <c r="I36" i="4"/>
  <c r="H36" i="4"/>
  <c r="S35" i="4"/>
  <c r="R35" i="4"/>
  <c r="Q35" i="4"/>
  <c r="P35" i="4"/>
  <c r="O35" i="4"/>
  <c r="N35" i="4"/>
  <c r="M35" i="4"/>
  <c r="L35" i="4"/>
  <c r="K35" i="4"/>
  <c r="J35" i="4"/>
  <c r="I35" i="4"/>
  <c r="H35" i="4"/>
  <c r="S34" i="4"/>
  <c r="R34" i="4"/>
  <c r="Q34" i="4"/>
  <c r="P34" i="4"/>
  <c r="O34" i="4"/>
  <c r="N34" i="4"/>
  <c r="M34" i="4"/>
  <c r="L34" i="4"/>
  <c r="K34" i="4"/>
  <c r="J34" i="4"/>
  <c r="I34" i="4"/>
  <c r="H34" i="4"/>
  <c r="S33" i="4"/>
  <c r="R33" i="4"/>
  <c r="Q33" i="4"/>
  <c r="P33" i="4"/>
  <c r="O33" i="4"/>
  <c r="N33" i="4"/>
  <c r="M33" i="4"/>
  <c r="L33" i="4"/>
  <c r="K33" i="4"/>
  <c r="J33" i="4"/>
  <c r="I33" i="4"/>
  <c r="H33" i="4"/>
  <c r="S32" i="4"/>
  <c r="R32" i="4"/>
  <c r="Q32" i="4"/>
  <c r="P32" i="4"/>
  <c r="O32" i="4"/>
  <c r="N32" i="4"/>
  <c r="M32" i="4"/>
  <c r="L32" i="4"/>
  <c r="K32" i="4"/>
  <c r="J32" i="4"/>
  <c r="I32" i="4"/>
  <c r="H32" i="4"/>
  <c r="S31" i="4"/>
  <c r="R31" i="4"/>
  <c r="Q31" i="4"/>
  <c r="P31" i="4"/>
  <c r="O31" i="4"/>
  <c r="N31" i="4"/>
  <c r="M31" i="4"/>
  <c r="L31" i="4"/>
  <c r="K31" i="4"/>
  <c r="J31" i="4"/>
  <c r="I31" i="4"/>
  <c r="H31" i="4"/>
  <c r="S30" i="4"/>
  <c r="R30" i="4"/>
  <c r="Q30" i="4"/>
  <c r="P30" i="4"/>
  <c r="O30" i="4"/>
  <c r="N30" i="4"/>
  <c r="M30" i="4"/>
  <c r="L30" i="4"/>
  <c r="K30" i="4"/>
  <c r="J30" i="4"/>
  <c r="I30" i="4"/>
  <c r="H30" i="4"/>
  <c r="S29" i="4"/>
  <c r="R29" i="4"/>
  <c r="Q29" i="4"/>
  <c r="P29" i="4"/>
  <c r="O29" i="4"/>
  <c r="N29" i="4"/>
  <c r="M29" i="4"/>
  <c r="L29" i="4"/>
  <c r="K29" i="4"/>
  <c r="J29" i="4"/>
  <c r="I29" i="4"/>
  <c r="H29" i="4"/>
  <c r="S28" i="4"/>
  <c r="R28" i="4"/>
  <c r="Q28" i="4"/>
  <c r="P28" i="4"/>
  <c r="O28" i="4"/>
  <c r="N28" i="4"/>
  <c r="M28" i="4"/>
  <c r="L28" i="4"/>
  <c r="K28" i="4"/>
  <c r="J28" i="4"/>
  <c r="I28" i="4"/>
  <c r="H28" i="4"/>
  <c r="S27" i="4"/>
  <c r="R27" i="4"/>
  <c r="Q27" i="4"/>
  <c r="P27" i="4"/>
  <c r="O27" i="4"/>
  <c r="N27" i="4"/>
  <c r="M27" i="4"/>
  <c r="L27" i="4"/>
  <c r="K27" i="4"/>
  <c r="J27" i="4"/>
  <c r="I27" i="4"/>
  <c r="H27" i="4"/>
  <c r="S26" i="4"/>
  <c r="R26" i="4"/>
  <c r="Q26" i="4"/>
  <c r="P26" i="4"/>
  <c r="O26" i="4"/>
  <c r="N26" i="4"/>
  <c r="M26" i="4"/>
  <c r="L26" i="4"/>
  <c r="K26" i="4"/>
  <c r="J26" i="4"/>
  <c r="I26" i="4"/>
  <c r="H26" i="4"/>
  <c r="S25" i="4"/>
  <c r="R25" i="4"/>
  <c r="Q25" i="4"/>
  <c r="P25" i="4"/>
  <c r="O25" i="4"/>
  <c r="N25" i="4"/>
  <c r="M25" i="4"/>
  <c r="L25" i="4"/>
  <c r="K25" i="4"/>
  <c r="J25" i="4"/>
  <c r="I25" i="4"/>
  <c r="H25" i="4"/>
  <c r="S24" i="4"/>
  <c r="R24" i="4"/>
  <c r="Q24" i="4"/>
  <c r="P24" i="4"/>
  <c r="O24" i="4"/>
  <c r="N24" i="4"/>
  <c r="M24" i="4"/>
  <c r="L24" i="4"/>
  <c r="K24" i="4"/>
  <c r="J24" i="4"/>
  <c r="I24" i="4"/>
  <c r="H24" i="4"/>
  <c r="S23" i="4"/>
  <c r="R23" i="4"/>
  <c r="Q23" i="4"/>
  <c r="P23" i="4"/>
  <c r="O23" i="4"/>
  <c r="N23" i="4"/>
  <c r="M23" i="4"/>
  <c r="L23" i="4"/>
  <c r="K23" i="4"/>
  <c r="J23" i="4"/>
  <c r="I23" i="4"/>
  <c r="H23" i="4"/>
  <c r="S22" i="4"/>
  <c r="R22" i="4"/>
  <c r="Q22" i="4"/>
  <c r="P22" i="4"/>
  <c r="O22" i="4"/>
  <c r="N22" i="4"/>
  <c r="M22" i="4"/>
  <c r="L22" i="4"/>
  <c r="K22" i="4"/>
  <c r="J22" i="4"/>
  <c r="I22" i="4"/>
  <c r="H22" i="4"/>
  <c r="S21" i="4"/>
  <c r="R21" i="4"/>
  <c r="Q21" i="4"/>
  <c r="P21" i="4"/>
  <c r="O21" i="4"/>
  <c r="N21" i="4"/>
  <c r="M21" i="4"/>
  <c r="L21" i="4"/>
  <c r="K21" i="4"/>
  <c r="J21" i="4"/>
  <c r="I21" i="4"/>
  <c r="H21" i="4"/>
  <c r="S20" i="4"/>
  <c r="R20" i="4"/>
  <c r="Q20" i="4"/>
  <c r="P20" i="4"/>
  <c r="O20" i="4"/>
  <c r="N20" i="4"/>
  <c r="M20" i="4"/>
  <c r="L20" i="4"/>
  <c r="K20" i="4"/>
  <c r="J20" i="4"/>
  <c r="I20" i="4"/>
  <c r="H20" i="4"/>
  <c r="S19" i="4"/>
  <c r="R19" i="4"/>
  <c r="Q19" i="4"/>
  <c r="P19" i="4"/>
  <c r="O19" i="4"/>
  <c r="N19" i="4"/>
  <c r="M19" i="4"/>
  <c r="L19" i="4"/>
  <c r="K19" i="4"/>
  <c r="J19" i="4"/>
  <c r="I19" i="4"/>
  <c r="H19" i="4"/>
  <c r="S18" i="4"/>
  <c r="R18" i="4"/>
  <c r="Q18" i="4"/>
  <c r="P18" i="4"/>
  <c r="O18" i="4"/>
  <c r="N18" i="4"/>
  <c r="M18" i="4"/>
  <c r="L18" i="4"/>
  <c r="K18" i="4"/>
  <c r="J18" i="4"/>
  <c r="I18" i="4"/>
  <c r="H18" i="4"/>
  <c r="S17" i="4"/>
  <c r="R17" i="4"/>
  <c r="Q17" i="4"/>
  <c r="P17" i="4"/>
  <c r="O17" i="4"/>
  <c r="N17" i="4"/>
  <c r="M17" i="4"/>
  <c r="L17" i="4"/>
  <c r="K17" i="4"/>
  <c r="J17" i="4"/>
  <c r="I17" i="4"/>
  <c r="H17" i="4"/>
  <c r="S16" i="4"/>
  <c r="R16" i="4"/>
  <c r="Q16" i="4"/>
  <c r="P16" i="4"/>
  <c r="O16" i="4"/>
  <c r="N16" i="4"/>
  <c r="M16" i="4"/>
  <c r="L16" i="4"/>
  <c r="K16" i="4"/>
  <c r="J16" i="4"/>
  <c r="I16" i="4"/>
  <c r="H16" i="4"/>
  <c r="S15" i="4"/>
  <c r="R15" i="4"/>
  <c r="Q15" i="4"/>
  <c r="P15" i="4"/>
  <c r="O15" i="4"/>
  <c r="N15" i="4"/>
  <c r="M15" i="4"/>
  <c r="L15" i="4"/>
  <c r="K15" i="4"/>
  <c r="J15" i="4"/>
  <c r="I15" i="4"/>
  <c r="H15" i="4"/>
  <c r="S14" i="4"/>
  <c r="R14" i="4"/>
  <c r="Q14" i="4"/>
  <c r="P14" i="4"/>
  <c r="O14" i="4"/>
  <c r="N14" i="4"/>
  <c r="M14" i="4"/>
  <c r="L14" i="4"/>
  <c r="K14" i="4"/>
  <c r="J14" i="4"/>
  <c r="I14" i="4"/>
  <c r="H14" i="4"/>
  <c r="S13" i="4"/>
  <c r="R13" i="4"/>
  <c r="Q13" i="4"/>
  <c r="P13" i="4"/>
  <c r="O13" i="4"/>
  <c r="N13" i="4"/>
  <c r="M13" i="4"/>
  <c r="L13" i="4"/>
  <c r="K13" i="4"/>
  <c r="J13" i="4"/>
  <c r="I13" i="4"/>
  <c r="H13" i="4"/>
  <c r="S12" i="4"/>
  <c r="R12" i="4"/>
  <c r="Q12" i="4"/>
  <c r="P12" i="4"/>
  <c r="O12" i="4"/>
  <c r="N12" i="4"/>
  <c r="M12" i="4"/>
  <c r="L12" i="4"/>
  <c r="K12" i="4"/>
  <c r="J12" i="4"/>
  <c r="I12" i="4"/>
  <c r="H12" i="4"/>
  <c r="S11" i="4"/>
  <c r="R11" i="4"/>
  <c r="Q11" i="4"/>
  <c r="P11" i="4"/>
  <c r="O11" i="4"/>
  <c r="N11" i="4"/>
  <c r="M11" i="4"/>
  <c r="L11" i="4"/>
  <c r="K11" i="4"/>
  <c r="J11" i="4"/>
  <c r="I11" i="4"/>
  <c r="H11" i="4"/>
  <c r="S10" i="4"/>
  <c r="R10" i="4"/>
  <c r="Q10" i="4"/>
  <c r="P10" i="4"/>
  <c r="O10" i="4"/>
  <c r="N10" i="4"/>
  <c r="M10" i="4"/>
  <c r="L10" i="4"/>
  <c r="K10" i="4"/>
  <c r="J10" i="4"/>
  <c r="I10" i="4"/>
  <c r="H10" i="4"/>
  <c r="S9" i="4"/>
  <c r="R9" i="4"/>
  <c r="Q9" i="4"/>
  <c r="P9" i="4"/>
  <c r="O9" i="4"/>
  <c r="N9" i="4"/>
  <c r="M9" i="4"/>
  <c r="L9" i="4"/>
  <c r="K9" i="4"/>
  <c r="J9" i="4"/>
  <c r="I9" i="4"/>
  <c r="H9" i="4"/>
  <c r="S8" i="4"/>
  <c r="R8" i="4"/>
  <c r="Q8" i="4"/>
  <c r="P8" i="4"/>
  <c r="O8" i="4"/>
  <c r="N8" i="4"/>
  <c r="M8" i="4"/>
  <c r="L8" i="4"/>
  <c r="K8" i="4"/>
  <c r="J8" i="4"/>
  <c r="I8" i="4"/>
  <c r="H8" i="4"/>
  <c r="S7" i="4"/>
  <c r="R7" i="4"/>
  <c r="Q7" i="4"/>
  <c r="P7" i="4"/>
  <c r="O7" i="4"/>
  <c r="N7" i="4"/>
  <c r="M7" i="4"/>
  <c r="L7" i="4"/>
  <c r="K7" i="4"/>
  <c r="J7" i="4"/>
  <c r="I7" i="4"/>
  <c r="H7" i="4"/>
  <c r="M6" i="4"/>
  <c r="L6" i="4"/>
  <c r="N6" i="4" s="1"/>
  <c r="O6" i="4" s="1"/>
  <c r="K6" i="4"/>
  <c r="J6" i="4"/>
  <c r="Q6" i="4" s="1"/>
  <c r="R6" i="4" s="1"/>
  <c r="I6" i="4"/>
  <c r="P6" i="4" s="1"/>
  <c r="H6" i="4"/>
  <c r="S6" i="4" s="1"/>
  <c r="AW57" i="3"/>
  <c r="AV57" i="3"/>
  <c r="AU57" i="3"/>
  <c r="AT57" i="3"/>
  <c r="AS57" i="3"/>
  <c r="AR57" i="3"/>
  <c r="AQ57" i="3"/>
  <c r="AP57" i="3"/>
  <c r="AO57" i="3"/>
  <c r="AN57" i="3"/>
  <c r="AM57" i="3"/>
  <c r="AL57" i="3"/>
  <c r="AK57" i="3"/>
  <c r="AJ57" i="3"/>
  <c r="AI57" i="3"/>
  <c r="AH57" i="3"/>
  <c r="AG57" i="3"/>
  <c r="AF57" i="3"/>
  <c r="AE57" i="3"/>
  <c r="AD57" i="3"/>
  <c r="AC57" i="3"/>
  <c r="AB57" i="3"/>
  <c r="AA57" i="3"/>
  <c r="Z57" i="3"/>
  <c r="Y57" i="3"/>
  <c r="X57" i="3"/>
  <c r="W57" i="3"/>
  <c r="V57" i="3"/>
  <c r="U57" i="3"/>
  <c r="AW56" i="3"/>
  <c r="AV56" i="3"/>
  <c r="AU56" i="3"/>
  <c r="AT56" i="3"/>
  <c r="AS56" i="3"/>
  <c r="AR56" i="3"/>
  <c r="AQ56" i="3"/>
  <c r="AP56" i="3"/>
  <c r="AO56" i="3"/>
  <c r="AN56" i="3"/>
  <c r="AM56" i="3"/>
  <c r="AL56" i="3"/>
  <c r="AK56" i="3"/>
  <c r="AJ56" i="3"/>
  <c r="AI56" i="3"/>
  <c r="AH56" i="3"/>
  <c r="AG56" i="3"/>
  <c r="AF56" i="3"/>
  <c r="AE56" i="3"/>
  <c r="AD56" i="3"/>
  <c r="AC56" i="3"/>
  <c r="AB56" i="3"/>
  <c r="AA56" i="3"/>
  <c r="Z56" i="3"/>
  <c r="Y56" i="3"/>
  <c r="X56" i="3"/>
  <c r="W56" i="3"/>
  <c r="V56" i="3"/>
  <c r="U56" i="3"/>
  <c r="AW55" i="3"/>
  <c r="AV55" i="3"/>
  <c r="AU55" i="3"/>
  <c r="AT55" i="3"/>
  <c r="AS55" i="3"/>
  <c r="AR55" i="3"/>
  <c r="AQ55" i="3"/>
  <c r="AP55" i="3"/>
  <c r="AO55" i="3"/>
  <c r="AN55" i="3"/>
  <c r="AM55" i="3"/>
  <c r="AL55" i="3"/>
  <c r="AK55" i="3"/>
  <c r="AJ55" i="3"/>
  <c r="AI55" i="3"/>
  <c r="AH55" i="3"/>
  <c r="AG55" i="3"/>
  <c r="AF55" i="3"/>
  <c r="AE55" i="3"/>
  <c r="AD55" i="3"/>
  <c r="AC55" i="3"/>
  <c r="AB55" i="3"/>
  <c r="AA55" i="3"/>
  <c r="Z55" i="3"/>
  <c r="Y55" i="3"/>
  <c r="X55" i="3"/>
  <c r="W55" i="3"/>
  <c r="V55" i="3"/>
  <c r="U55" i="3"/>
  <c r="AW54" i="3"/>
  <c r="AV54" i="3"/>
  <c r="AU54" i="3"/>
  <c r="AT54" i="3"/>
  <c r="AS54" i="3"/>
  <c r="AR54" i="3"/>
  <c r="AQ54" i="3"/>
  <c r="AP54" i="3"/>
  <c r="AO54" i="3"/>
  <c r="AN54" i="3"/>
  <c r="AM54" i="3"/>
  <c r="AL54" i="3"/>
  <c r="AK54" i="3"/>
  <c r="AJ54" i="3"/>
  <c r="AI54" i="3"/>
  <c r="AH54" i="3"/>
  <c r="AG54" i="3"/>
  <c r="AF54" i="3"/>
  <c r="AE54" i="3"/>
  <c r="AD54" i="3"/>
  <c r="AC54" i="3"/>
  <c r="AB54" i="3"/>
  <c r="AA54" i="3"/>
  <c r="Z54" i="3"/>
  <c r="Y54" i="3"/>
  <c r="X54" i="3"/>
  <c r="W54" i="3"/>
  <c r="V54" i="3"/>
  <c r="U54" i="3"/>
  <c r="AW53" i="3"/>
  <c r="AV53" i="3"/>
  <c r="AU53" i="3"/>
  <c r="AT53" i="3"/>
  <c r="AS53" i="3"/>
  <c r="AR53" i="3"/>
  <c r="AQ53" i="3"/>
  <c r="AP53" i="3"/>
  <c r="AO53" i="3"/>
  <c r="AN53" i="3"/>
  <c r="AM53" i="3"/>
  <c r="AL53" i="3"/>
  <c r="AK53" i="3"/>
  <c r="AJ53" i="3"/>
  <c r="AI53" i="3"/>
  <c r="AH53" i="3"/>
  <c r="AG53" i="3"/>
  <c r="AF53" i="3"/>
  <c r="AE53" i="3"/>
  <c r="AD53" i="3"/>
  <c r="AC53" i="3"/>
  <c r="AB53" i="3"/>
  <c r="AA53" i="3"/>
  <c r="Z53" i="3"/>
  <c r="Y53" i="3"/>
  <c r="X53" i="3"/>
  <c r="W53" i="3"/>
  <c r="V53" i="3"/>
  <c r="U53" i="3"/>
  <c r="AW52" i="3"/>
  <c r="AV52" i="3"/>
  <c r="AU52" i="3"/>
  <c r="AT52" i="3"/>
  <c r="AS52" i="3"/>
  <c r="AR52" i="3"/>
  <c r="AQ52" i="3"/>
  <c r="AP52" i="3"/>
  <c r="AO52" i="3"/>
  <c r="AN52" i="3"/>
  <c r="AM52" i="3"/>
  <c r="AL52" i="3"/>
  <c r="AK52" i="3"/>
  <c r="AJ52" i="3"/>
  <c r="AI52" i="3"/>
  <c r="AH52" i="3"/>
  <c r="AG52" i="3"/>
  <c r="AF52" i="3"/>
  <c r="AE52" i="3"/>
  <c r="AD52" i="3"/>
  <c r="AC52" i="3"/>
  <c r="AB52" i="3"/>
  <c r="AA52" i="3"/>
  <c r="Z52" i="3"/>
  <c r="Y52" i="3"/>
  <c r="X52" i="3"/>
  <c r="W52" i="3"/>
  <c r="V52" i="3"/>
  <c r="U52" i="3"/>
  <c r="AW51" i="3"/>
  <c r="AV51" i="3"/>
  <c r="AU51" i="3"/>
  <c r="AT51" i="3"/>
  <c r="AS51" i="3"/>
  <c r="AR51" i="3"/>
  <c r="AQ51" i="3"/>
  <c r="AP51" i="3"/>
  <c r="AO51" i="3"/>
  <c r="AN51" i="3"/>
  <c r="AM51" i="3"/>
  <c r="AL51" i="3"/>
  <c r="AK51" i="3"/>
  <c r="AJ51" i="3"/>
  <c r="AI51" i="3"/>
  <c r="AH51" i="3"/>
  <c r="AG51" i="3"/>
  <c r="AF51" i="3"/>
  <c r="AE51" i="3"/>
  <c r="AD51" i="3"/>
  <c r="AC51" i="3"/>
  <c r="AB51" i="3"/>
  <c r="AA51" i="3"/>
  <c r="Z51" i="3"/>
  <c r="Y51" i="3"/>
  <c r="X51" i="3"/>
  <c r="W51" i="3"/>
  <c r="V51" i="3"/>
  <c r="U51" i="3"/>
  <c r="AW50" i="3"/>
  <c r="AV50" i="3"/>
  <c r="AU50" i="3"/>
  <c r="AT50" i="3"/>
  <c r="AS50" i="3"/>
  <c r="AR50" i="3"/>
  <c r="AQ50" i="3"/>
  <c r="AP50" i="3"/>
  <c r="AO50" i="3"/>
  <c r="AN50" i="3"/>
  <c r="AM50" i="3"/>
  <c r="AL50" i="3"/>
  <c r="AK50" i="3"/>
  <c r="AJ50" i="3"/>
  <c r="AI50" i="3"/>
  <c r="AH50" i="3"/>
  <c r="AG50" i="3"/>
  <c r="AF50" i="3"/>
  <c r="AE50" i="3"/>
  <c r="AD50" i="3"/>
  <c r="AC50" i="3"/>
  <c r="AB50" i="3"/>
  <c r="AA50" i="3"/>
  <c r="Z50" i="3"/>
  <c r="Y50" i="3"/>
  <c r="X50" i="3"/>
  <c r="W50" i="3"/>
  <c r="V50" i="3"/>
  <c r="U50" i="3"/>
  <c r="AW49" i="3"/>
  <c r="AV49" i="3"/>
  <c r="AU49" i="3"/>
  <c r="AT49" i="3"/>
  <c r="AS49" i="3"/>
  <c r="AR49" i="3"/>
  <c r="AQ49" i="3"/>
  <c r="AP49" i="3"/>
  <c r="AO49" i="3"/>
  <c r="AN49" i="3"/>
  <c r="AM49" i="3"/>
  <c r="AL49" i="3"/>
  <c r="AK49" i="3"/>
  <c r="AJ49" i="3"/>
  <c r="AI49" i="3"/>
  <c r="AH49" i="3"/>
  <c r="AG49" i="3"/>
  <c r="AF49" i="3"/>
  <c r="AE49" i="3"/>
  <c r="AD49" i="3"/>
  <c r="AC49" i="3"/>
  <c r="AB49" i="3"/>
  <c r="AA49" i="3"/>
  <c r="Z49" i="3"/>
  <c r="Y49" i="3"/>
  <c r="X49" i="3"/>
  <c r="W49" i="3"/>
  <c r="V49" i="3"/>
  <c r="U49" i="3"/>
  <c r="AW48" i="3"/>
  <c r="AV48" i="3"/>
  <c r="AU48" i="3"/>
  <c r="AT48" i="3"/>
  <c r="AS48" i="3"/>
  <c r="AR48" i="3"/>
  <c r="AQ48" i="3"/>
  <c r="AP48" i="3"/>
  <c r="AO48" i="3"/>
  <c r="AN48" i="3"/>
  <c r="AM48" i="3"/>
  <c r="AL48" i="3"/>
  <c r="AK48" i="3"/>
  <c r="AJ48" i="3"/>
  <c r="AI48" i="3"/>
  <c r="AH48" i="3"/>
  <c r="AG48" i="3"/>
  <c r="AF48" i="3"/>
  <c r="AE48" i="3"/>
  <c r="AD48" i="3"/>
  <c r="AC48" i="3"/>
  <c r="AB48" i="3"/>
  <c r="AA48" i="3"/>
  <c r="Z48" i="3"/>
  <c r="Y48" i="3"/>
  <c r="X48" i="3"/>
  <c r="W48" i="3"/>
  <c r="V48" i="3"/>
  <c r="U48" i="3"/>
  <c r="AW47" i="3"/>
  <c r="AV47" i="3"/>
  <c r="AU47" i="3"/>
  <c r="AT47" i="3"/>
  <c r="AS47" i="3"/>
  <c r="AR47" i="3"/>
  <c r="AQ47" i="3"/>
  <c r="AP47" i="3"/>
  <c r="AO47" i="3"/>
  <c r="AN47" i="3"/>
  <c r="AM47" i="3"/>
  <c r="AL47" i="3"/>
  <c r="AK47" i="3"/>
  <c r="AJ47" i="3"/>
  <c r="AI47" i="3"/>
  <c r="AH47" i="3"/>
  <c r="AG47" i="3"/>
  <c r="AF47" i="3"/>
  <c r="AE47" i="3"/>
  <c r="AD47" i="3"/>
  <c r="AC47" i="3"/>
  <c r="AB47" i="3"/>
  <c r="AA47" i="3"/>
  <c r="Z47" i="3"/>
  <c r="Y47" i="3"/>
  <c r="X47" i="3"/>
  <c r="W47" i="3"/>
  <c r="V47" i="3"/>
  <c r="U47" i="3"/>
  <c r="AW46" i="3"/>
  <c r="AV46" i="3"/>
  <c r="AU46" i="3"/>
  <c r="AT46" i="3"/>
  <c r="AS46" i="3"/>
  <c r="AR46" i="3"/>
  <c r="AQ46" i="3"/>
  <c r="AP46" i="3"/>
  <c r="AO46" i="3"/>
  <c r="AN46" i="3"/>
  <c r="AM46" i="3"/>
  <c r="AL46" i="3"/>
  <c r="AK46" i="3"/>
  <c r="AJ46" i="3"/>
  <c r="AI46" i="3"/>
  <c r="AH46" i="3"/>
  <c r="AG46" i="3"/>
  <c r="AF46" i="3"/>
  <c r="AE46" i="3"/>
  <c r="AD46" i="3"/>
  <c r="AC46" i="3"/>
  <c r="AB46" i="3"/>
  <c r="AA46" i="3"/>
  <c r="Z46" i="3"/>
  <c r="Y46" i="3"/>
  <c r="X46" i="3"/>
  <c r="W46" i="3"/>
  <c r="V46" i="3"/>
  <c r="U46" i="3"/>
  <c r="AW45" i="3"/>
  <c r="AV45" i="3"/>
  <c r="AU45" i="3"/>
  <c r="AT45" i="3"/>
  <c r="AS45" i="3"/>
  <c r="AR45" i="3"/>
  <c r="AQ45" i="3"/>
  <c r="AP45" i="3"/>
  <c r="AO45" i="3"/>
  <c r="AN45" i="3"/>
  <c r="AM45" i="3"/>
  <c r="AL45" i="3"/>
  <c r="AK45" i="3"/>
  <c r="AJ45" i="3"/>
  <c r="AI45" i="3"/>
  <c r="AH45" i="3"/>
  <c r="AG45" i="3"/>
  <c r="AF45" i="3"/>
  <c r="AE45" i="3"/>
  <c r="AD45" i="3"/>
  <c r="AC45" i="3"/>
  <c r="AB45" i="3"/>
  <c r="AA45" i="3"/>
  <c r="Z45" i="3"/>
  <c r="Y45" i="3"/>
  <c r="X45" i="3"/>
  <c r="W45" i="3"/>
  <c r="V45" i="3"/>
  <c r="U45" i="3"/>
  <c r="AW44" i="3"/>
  <c r="AV44" i="3"/>
  <c r="AU44" i="3"/>
  <c r="AT44" i="3"/>
  <c r="AS44" i="3"/>
  <c r="AR44" i="3"/>
  <c r="AQ44" i="3"/>
  <c r="AP44" i="3"/>
  <c r="AO44" i="3"/>
  <c r="AN44" i="3"/>
  <c r="AM44" i="3"/>
  <c r="AL44" i="3"/>
  <c r="AK44" i="3"/>
  <c r="AJ44" i="3"/>
  <c r="AI44" i="3"/>
  <c r="AH44" i="3"/>
  <c r="AG44" i="3"/>
  <c r="AF44" i="3"/>
  <c r="AE44" i="3"/>
  <c r="AD44" i="3"/>
  <c r="AC44" i="3"/>
  <c r="AB44" i="3"/>
  <c r="AA44" i="3"/>
  <c r="Z44" i="3"/>
  <c r="Y44" i="3"/>
  <c r="X44" i="3"/>
  <c r="W44" i="3"/>
  <c r="V44" i="3"/>
  <c r="U44" i="3"/>
  <c r="AW43" i="3"/>
  <c r="AV43" i="3"/>
  <c r="AU43" i="3"/>
  <c r="AT43" i="3"/>
  <c r="AS43" i="3"/>
  <c r="AR43" i="3"/>
  <c r="AQ43" i="3"/>
  <c r="AP43" i="3"/>
  <c r="AO43" i="3"/>
  <c r="AN43" i="3"/>
  <c r="AM43" i="3"/>
  <c r="AL43" i="3"/>
  <c r="AK43" i="3"/>
  <c r="AJ43" i="3"/>
  <c r="AI43" i="3"/>
  <c r="AH43" i="3"/>
  <c r="AG43" i="3"/>
  <c r="AF43" i="3"/>
  <c r="AE43" i="3"/>
  <c r="AD43" i="3"/>
  <c r="AC43" i="3"/>
  <c r="AB43" i="3"/>
  <c r="AA43" i="3"/>
  <c r="Z43" i="3"/>
  <c r="Y43" i="3"/>
  <c r="X43" i="3"/>
  <c r="W43" i="3"/>
  <c r="V43" i="3"/>
  <c r="U43" i="3"/>
  <c r="AW42" i="3"/>
  <c r="AV42" i="3"/>
  <c r="AU42" i="3"/>
  <c r="AT42" i="3"/>
  <c r="AS42" i="3"/>
  <c r="AR42" i="3"/>
  <c r="AQ42" i="3"/>
  <c r="AP42" i="3"/>
  <c r="AO42" i="3"/>
  <c r="AN42" i="3"/>
  <c r="AM42" i="3"/>
  <c r="AL42" i="3"/>
  <c r="AK42" i="3"/>
  <c r="AJ42" i="3"/>
  <c r="AI42" i="3"/>
  <c r="AH42" i="3"/>
  <c r="AG42" i="3"/>
  <c r="AF42" i="3"/>
  <c r="AE42" i="3"/>
  <c r="AD42" i="3"/>
  <c r="AC42" i="3"/>
  <c r="AB42" i="3"/>
  <c r="AA42" i="3"/>
  <c r="Z42" i="3"/>
  <c r="Y42" i="3"/>
  <c r="X42" i="3"/>
  <c r="W42" i="3"/>
  <c r="V42" i="3"/>
  <c r="U42" i="3"/>
  <c r="AW41" i="3"/>
  <c r="AV41" i="3"/>
  <c r="AU41" i="3"/>
  <c r="AT41" i="3"/>
  <c r="AS41" i="3"/>
  <c r="AR41" i="3"/>
  <c r="AQ41" i="3"/>
  <c r="AP41" i="3"/>
  <c r="AO41" i="3"/>
  <c r="AN41" i="3"/>
  <c r="AM41" i="3"/>
  <c r="AL41" i="3"/>
  <c r="AK41" i="3"/>
  <c r="AJ41" i="3"/>
  <c r="AI41" i="3"/>
  <c r="AH41" i="3"/>
  <c r="AG41" i="3"/>
  <c r="AF41" i="3"/>
  <c r="AE41" i="3"/>
  <c r="AD41" i="3"/>
  <c r="AC41" i="3"/>
  <c r="AB41" i="3"/>
  <c r="AA41" i="3"/>
  <c r="Z41" i="3"/>
  <c r="Y41" i="3"/>
  <c r="X41" i="3"/>
  <c r="W41" i="3"/>
  <c r="V41" i="3"/>
  <c r="U41" i="3"/>
  <c r="AW40" i="3"/>
  <c r="AV40" i="3"/>
  <c r="AU40" i="3"/>
  <c r="AT40" i="3"/>
  <c r="AS40" i="3"/>
  <c r="AR40" i="3"/>
  <c r="AQ40" i="3"/>
  <c r="AP40" i="3"/>
  <c r="AO40" i="3"/>
  <c r="AN40" i="3"/>
  <c r="AM40" i="3"/>
  <c r="AL40" i="3"/>
  <c r="AK40" i="3"/>
  <c r="AJ40" i="3"/>
  <c r="AI40" i="3"/>
  <c r="AH40" i="3"/>
  <c r="AG40" i="3"/>
  <c r="AF40" i="3"/>
  <c r="AE40" i="3"/>
  <c r="AD40" i="3"/>
  <c r="AC40" i="3"/>
  <c r="AB40" i="3"/>
  <c r="AA40" i="3"/>
  <c r="Z40" i="3"/>
  <c r="Y40" i="3"/>
  <c r="X40" i="3"/>
  <c r="W40" i="3"/>
  <c r="V40" i="3"/>
  <c r="U40" i="3"/>
  <c r="AW39" i="3"/>
  <c r="AV39" i="3"/>
  <c r="AU39" i="3"/>
  <c r="AT39" i="3"/>
  <c r="AS39" i="3"/>
  <c r="AR39" i="3"/>
  <c r="AQ39" i="3"/>
  <c r="AP39" i="3"/>
  <c r="AO39" i="3"/>
  <c r="AN39" i="3"/>
  <c r="AM39" i="3"/>
  <c r="AL39" i="3"/>
  <c r="AK39" i="3"/>
  <c r="AJ39" i="3"/>
  <c r="AI39" i="3"/>
  <c r="AH39" i="3"/>
  <c r="AG39" i="3"/>
  <c r="AF39" i="3"/>
  <c r="AE39" i="3"/>
  <c r="AD39" i="3"/>
  <c r="AC39" i="3"/>
  <c r="AB39" i="3"/>
  <c r="AA39" i="3"/>
  <c r="Z39" i="3"/>
  <c r="Y39" i="3"/>
  <c r="X39" i="3"/>
  <c r="W39" i="3"/>
  <c r="V39" i="3"/>
  <c r="U39" i="3"/>
  <c r="AW38" i="3"/>
  <c r="AV38" i="3"/>
  <c r="AU38" i="3"/>
  <c r="AT38" i="3"/>
  <c r="AS38" i="3"/>
  <c r="AR38" i="3"/>
  <c r="AQ38" i="3"/>
  <c r="AP38" i="3"/>
  <c r="AO38" i="3"/>
  <c r="AN38" i="3"/>
  <c r="AM38" i="3"/>
  <c r="AL38" i="3"/>
  <c r="AK38" i="3"/>
  <c r="AJ38" i="3"/>
  <c r="AI38" i="3"/>
  <c r="AH38" i="3"/>
  <c r="AG38" i="3"/>
  <c r="AF38" i="3"/>
  <c r="AE38" i="3"/>
  <c r="AD38" i="3"/>
  <c r="AC38" i="3"/>
  <c r="AB38" i="3"/>
  <c r="AA38" i="3"/>
  <c r="Z38" i="3"/>
  <c r="Y38" i="3"/>
  <c r="X38" i="3"/>
  <c r="W38" i="3"/>
  <c r="V38" i="3"/>
  <c r="U38" i="3"/>
  <c r="AW37" i="3"/>
  <c r="AV37" i="3"/>
  <c r="AU37" i="3"/>
  <c r="AT37" i="3"/>
  <c r="AS37" i="3"/>
  <c r="AR37" i="3"/>
  <c r="AQ37" i="3"/>
  <c r="AP37" i="3"/>
  <c r="AO37" i="3"/>
  <c r="AN37" i="3"/>
  <c r="AM37" i="3"/>
  <c r="AL37" i="3"/>
  <c r="AK37" i="3"/>
  <c r="AJ37" i="3"/>
  <c r="AI37" i="3"/>
  <c r="AH37" i="3"/>
  <c r="AG37" i="3"/>
  <c r="AF37" i="3"/>
  <c r="AE37" i="3"/>
  <c r="AD37" i="3"/>
  <c r="AC37" i="3"/>
  <c r="AB37" i="3"/>
  <c r="AA37" i="3"/>
  <c r="Z37" i="3"/>
  <c r="Y37" i="3"/>
  <c r="X37" i="3"/>
  <c r="W37" i="3"/>
  <c r="V37" i="3"/>
  <c r="U37" i="3"/>
  <c r="AW36" i="3"/>
  <c r="AV36" i="3"/>
  <c r="AU36" i="3"/>
  <c r="AT36" i="3"/>
  <c r="AS36" i="3"/>
  <c r="AR36" i="3"/>
  <c r="AQ36" i="3"/>
  <c r="AP36" i="3"/>
  <c r="AO36" i="3"/>
  <c r="AN36" i="3"/>
  <c r="AM36" i="3"/>
  <c r="AL36" i="3"/>
  <c r="AK36" i="3"/>
  <c r="AJ36" i="3"/>
  <c r="AI36" i="3"/>
  <c r="AH36" i="3"/>
  <c r="AG36" i="3"/>
  <c r="AF36" i="3"/>
  <c r="AE36" i="3"/>
  <c r="AD36" i="3"/>
  <c r="AC36" i="3"/>
  <c r="AB36" i="3"/>
  <c r="AA36" i="3"/>
  <c r="Z36" i="3"/>
  <c r="Y36" i="3"/>
  <c r="X36" i="3"/>
  <c r="W36" i="3"/>
  <c r="V36" i="3"/>
  <c r="U36" i="3"/>
  <c r="AW35" i="3"/>
  <c r="AV35" i="3"/>
  <c r="AU35" i="3"/>
  <c r="AT35" i="3"/>
  <c r="AS35" i="3"/>
  <c r="AR35" i="3"/>
  <c r="AQ35" i="3"/>
  <c r="AP35" i="3"/>
  <c r="AO35" i="3"/>
  <c r="AN35" i="3"/>
  <c r="AM35" i="3"/>
  <c r="AL35" i="3"/>
  <c r="AK35" i="3"/>
  <c r="AJ35" i="3"/>
  <c r="AI35" i="3"/>
  <c r="AH35" i="3"/>
  <c r="AG35" i="3"/>
  <c r="AF35" i="3"/>
  <c r="AE35" i="3"/>
  <c r="AD35" i="3"/>
  <c r="AC35" i="3"/>
  <c r="AB35" i="3"/>
  <c r="AA35" i="3"/>
  <c r="Z35" i="3"/>
  <c r="Y35" i="3"/>
  <c r="X35" i="3"/>
  <c r="W35" i="3"/>
  <c r="V35" i="3"/>
  <c r="U35" i="3"/>
  <c r="AW34" i="3"/>
  <c r="AV34" i="3"/>
  <c r="AU34" i="3"/>
  <c r="AT34" i="3"/>
  <c r="AS34" i="3"/>
  <c r="AR34" i="3"/>
  <c r="AQ34" i="3"/>
  <c r="AP34" i="3"/>
  <c r="AO34" i="3"/>
  <c r="AN34" i="3"/>
  <c r="AM34" i="3"/>
  <c r="AL34" i="3"/>
  <c r="AK34" i="3"/>
  <c r="AJ34" i="3"/>
  <c r="AI34" i="3"/>
  <c r="AH34" i="3"/>
  <c r="AG34" i="3"/>
  <c r="AF34" i="3"/>
  <c r="AE34" i="3"/>
  <c r="AD34" i="3"/>
  <c r="AC34" i="3"/>
  <c r="AB34" i="3"/>
  <c r="AA34" i="3"/>
  <c r="Z34" i="3"/>
  <c r="Y34" i="3"/>
  <c r="X34" i="3"/>
  <c r="W34" i="3"/>
  <c r="V34" i="3"/>
  <c r="U34" i="3"/>
  <c r="AW33" i="3"/>
  <c r="AV33" i="3"/>
  <c r="AU33" i="3"/>
  <c r="AT33" i="3"/>
  <c r="AS33" i="3"/>
  <c r="AR33" i="3"/>
  <c r="AQ33" i="3"/>
  <c r="AP33" i="3"/>
  <c r="AO33" i="3"/>
  <c r="AN33" i="3"/>
  <c r="AM33" i="3"/>
  <c r="AL33" i="3"/>
  <c r="AK33" i="3"/>
  <c r="AJ33" i="3"/>
  <c r="AI33" i="3"/>
  <c r="AH33" i="3"/>
  <c r="AG33" i="3"/>
  <c r="AF33" i="3"/>
  <c r="AE33" i="3"/>
  <c r="AD33" i="3"/>
  <c r="AC33" i="3"/>
  <c r="AB33" i="3"/>
  <c r="AA33" i="3"/>
  <c r="Z33" i="3"/>
  <c r="Y33" i="3"/>
  <c r="X33" i="3"/>
  <c r="W33" i="3"/>
  <c r="V33" i="3"/>
  <c r="U33" i="3"/>
  <c r="AW32" i="3"/>
  <c r="AV32" i="3"/>
  <c r="AU32" i="3"/>
  <c r="AT32" i="3"/>
  <c r="AS32" i="3"/>
  <c r="AR32" i="3"/>
  <c r="AQ32" i="3"/>
  <c r="AP32" i="3"/>
  <c r="AO32" i="3"/>
  <c r="AN32" i="3"/>
  <c r="AM32" i="3"/>
  <c r="AL32" i="3"/>
  <c r="AK32" i="3"/>
  <c r="AJ32" i="3"/>
  <c r="AI32" i="3"/>
  <c r="AH32" i="3"/>
  <c r="AG32" i="3"/>
  <c r="AF32" i="3"/>
  <c r="AE32" i="3"/>
  <c r="AD32" i="3"/>
  <c r="AC32" i="3"/>
  <c r="AB32" i="3"/>
  <c r="AA32" i="3"/>
  <c r="Z32" i="3"/>
  <c r="Y32" i="3"/>
  <c r="X32" i="3"/>
  <c r="W32" i="3"/>
  <c r="V32" i="3"/>
  <c r="U32" i="3"/>
  <c r="AW31" i="3"/>
  <c r="AV31" i="3"/>
  <c r="AU31" i="3"/>
  <c r="AT31" i="3"/>
  <c r="AS31" i="3"/>
  <c r="AR31" i="3"/>
  <c r="AQ31" i="3"/>
  <c r="AP31" i="3"/>
  <c r="AO31" i="3"/>
  <c r="AN31" i="3"/>
  <c r="AM31" i="3"/>
  <c r="AL31" i="3"/>
  <c r="AK31" i="3"/>
  <c r="AJ31" i="3"/>
  <c r="AI31" i="3"/>
  <c r="AH31" i="3"/>
  <c r="AG31" i="3"/>
  <c r="AF31" i="3"/>
  <c r="AE31" i="3"/>
  <c r="AD31" i="3"/>
  <c r="AC31" i="3"/>
  <c r="AB31" i="3"/>
  <c r="AA31" i="3"/>
  <c r="Z31" i="3"/>
  <c r="Y31" i="3"/>
  <c r="X31" i="3"/>
  <c r="W31" i="3"/>
  <c r="V31" i="3"/>
  <c r="U31" i="3"/>
  <c r="AW30" i="3"/>
  <c r="AV30" i="3"/>
  <c r="AU30" i="3"/>
  <c r="AT30" i="3"/>
  <c r="AS30" i="3"/>
  <c r="AR30" i="3"/>
  <c r="AQ30" i="3"/>
  <c r="AP30" i="3"/>
  <c r="AO30" i="3"/>
  <c r="AN30" i="3"/>
  <c r="AM30" i="3"/>
  <c r="AL30" i="3"/>
  <c r="AK30" i="3"/>
  <c r="AJ30" i="3"/>
  <c r="AI30" i="3"/>
  <c r="AH30" i="3"/>
  <c r="AG30" i="3"/>
  <c r="AF30" i="3"/>
  <c r="AE30" i="3"/>
  <c r="AD30" i="3"/>
  <c r="AC30" i="3"/>
  <c r="AB30" i="3"/>
  <c r="AA30" i="3"/>
  <c r="Z30" i="3"/>
  <c r="Y30" i="3"/>
  <c r="X30" i="3"/>
  <c r="W30" i="3"/>
  <c r="V30" i="3"/>
  <c r="U30" i="3"/>
  <c r="AW29" i="3"/>
  <c r="AV29" i="3"/>
  <c r="AU29" i="3"/>
  <c r="AT29" i="3"/>
  <c r="AS29" i="3"/>
  <c r="AR29" i="3"/>
  <c r="AQ29" i="3"/>
  <c r="AP29" i="3"/>
  <c r="AO29" i="3"/>
  <c r="AN29" i="3"/>
  <c r="AM29" i="3"/>
  <c r="AL29" i="3"/>
  <c r="AK29" i="3"/>
  <c r="AJ29" i="3"/>
  <c r="AI29" i="3"/>
  <c r="AH29" i="3"/>
  <c r="AG29" i="3"/>
  <c r="AF29" i="3"/>
  <c r="AE29" i="3"/>
  <c r="AD29" i="3"/>
  <c r="AC29" i="3"/>
  <c r="AB29" i="3"/>
  <c r="AA29" i="3"/>
  <c r="Z29" i="3"/>
  <c r="Y29" i="3"/>
  <c r="X29" i="3"/>
  <c r="W29" i="3"/>
  <c r="V29" i="3"/>
  <c r="U29" i="3"/>
  <c r="AW28" i="3"/>
  <c r="AV28" i="3"/>
  <c r="AU28" i="3"/>
  <c r="AT28" i="3"/>
  <c r="AS28" i="3"/>
  <c r="AR28" i="3"/>
  <c r="AQ28" i="3"/>
  <c r="AP28" i="3"/>
  <c r="AO28" i="3"/>
  <c r="AN28" i="3"/>
  <c r="AM28" i="3"/>
  <c r="AL28" i="3"/>
  <c r="AK28" i="3"/>
  <c r="AJ28" i="3"/>
  <c r="AI28" i="3"/>
  <c r="AH28" i="3"/>
  <c r="AG28" i="3"/>
  <c r="AF28" i="3"/>
  <c r="AE28" i="3"/>
  <c r="AD28" i="3"/>
  <c r="AC28" i="3"/>
  <c r="AB28" i="3"/>
  <c r="AA28" i="3"/>
  <c r="Z28" i="3"/>
  <c r="Y28" i="3"/>
  <c r="X28" i="3"/>
  <c r="W28" i="3"/>
  <c r="V28" i="3"/>
  <c r="U28" i="3"/>
  <c r="AW27" i="3"/>
  <c r="AV27" i="3"/>
  <c r="AU27" i="3"/>
  <c r="AT27" i="3"/>
  <c r="AS27" i="3"/>
  <c r="AR27" i="3"/>
  <c r="AQ27" i="3"/>
  <c r="AP27" i="3"/>
  <c r="AO27" i="3"/>
  <c r="AN27" i="3"/>
  <c r="AM27" i="3"/>
  <c r="AL27" i="3"/>
  <c r="AK27" i="3"/>
  <c r="AJ27" i="3"/>
  <c r="AI27" i="3"/>
  <c r="AH27" i="3"/>
  <c r="AG27" i="3"/>
  <c r="AF27" i="3"/>
  <c r="AE27" i="3"/>
  <c r="AD27" i="3"/>
  <c r="AC27" i="3"/>
  <c r="AB27" i="3"/>
  <c r="AA27" i="3"/>
  <c r="Z27" i="3"/>
  <c r="Y27" i="3"/>
  <c r="X27" i="3"/>
  <c r="W27" i="3"/>
  <c r="V27" i="3"/>
  <c r="U27" i="3"/>
  <c r="AW26" i="3"/>
  <c r="AV26" i="3"/>
  <c r="AU26" i="3"/>
  <c r="AT26" i="3"/>
  <c r="AS26" i="3"/>
  <c r="AR26" i="3"/>
  <c r="AQ26" i="3"/>
  <c r="AP26" i="3"/>
  <c r="AO26" i="3"/>
  <c r="AN26" i="3"/>
  <c r="AM26" i="3"/>
  <c r="AL26" i="3"/>
  <c r="AK26" i="3"/>
  <c r="AJ26" i="3"/>
  <c r="AI26" i="3"/>
  <c r="AH26" i="3"/>
  <c r="AG26" i="3"/>
  <c r="AF26" i="3"/>
  <c r="AE26" i="3"/>
  <c r="AD26" i="3"/>
  <c r="AC26" i="3"/>
  <c r="AB26" i="3"/>
  <c r="AA26" i="3"/>
  <c r="Z26" i="3"/>
  <c r="Y26" i="3"/>
  <c r="X26" i="3"/>
  <c r="W26" i="3"/>
  <c r="V26" i="3"/>
  <c r="U26" i="3"/>
  <c r="AW25" i="3"/>
  <c r="AV25" i="3"/>
  <c r="AU25" i="3"/>
  <c r="AT25" i="3"/>
  <c r="AS25" i="3"/>
  <c r="AR25" i="3"/>
  <c r="AQ25" i="3"/>
  <c r="AP25" i="3"/>
  <c r="AO25" i="3"/>
  <c r="AN25" i="3"/>
  <c r="AM25" i="3"/>
  <c r="AL25" i="3"/>
  <c r="AK25" i="3"/>
  <c r="AJ25" i="3"/>
  <c r="AI25" i="3"/>
  <c r="AH25" i="3"/>
  <c r="AG25" i="3"/>
  <c r="AF25" i="3"/>
  <c r="AE25" i="3"/>
  <c r="AD25" i="3"/>
  <c r="AC25" i="3"/>
  <c r="AB25" i="3"/>
  <c r="AA25" i="3"/>
  <c r="Z25" i="3"/>
  <c r="Y25" i="3"/>
  <c r="X25" i="3"/>
  <c r="W25" i="3"/>
  <c r="V25" i="3"/>
  <c r="U25" i="3"/>
  <c r="AW24" i="3"/>
  <c r="AV24" i="3"/>
  <c r="AU24" i="3"/>
  <c r="AT24" i="3"/>
  <c r="AS24" i="3"/>
  <c r="AR24" i="3"/>
  <c r="AQ24" i="3"/>
  <c r="AP24" i="3"/>
  <c r="AO24" i="3"/>
  <c r="AN24" i="3"/>
  <c r="AM24" i="3"/>
  <c r="AL24" i="3"/>
  <c r="AK24" i="3"/>
  <c r="AJ24" i="3"/>
  <c r="AI24" i="3"/>
  <c r="AH24" i="3"/>
  <c r="AG24" i="3"/>
  <c r="AF24" i="3"/>
  <c r="AE24" i="3"/>
  <c r="AD24" i="3"/>
  <c r="AC24" i="3"/>
  <c r="AB24" i="3"/>
  <c r="AA24" i="3"/>
  <c r="Z24" i="3"/>
  <c r="Y24" i="3"/>
  <c r="X24" i="3"/>
  <c r="W24" i="3"/>
  <c r="V24" i="3"/>
  <c r="U24" i="3"/>
  <c r="AW23" i="3"/>
  <c r="AV23" i="3"/>
  <c r="AU23" i="3"/>
  <c r="AT23" i="3"/>
  <c r="AS23" i="3"/>
  <c r="AR23" i="3"/>
  <c r="AQ23" i="3"/>
  <c r="AP23" i="3"/>
  <c r="AO23" i="3"/>
  <c r="AN23" i="3"/>
  <c r="AM23" i="3"/>
  <c r="AL23" i="3"/>
  <c r="AK23" i="3"/>
  <c r="AJ23" i="3"/>
  <c r="AI23" i="3"/>
  <c r="AH23" i="3"/>
  <c r="AG23" i="3"/>
  <c r="AF23" i="3"/>
  <c r="AE23" i="3"/>
  <c r="AD23" i="3"/>
  <c r="AC23" i="3"/>
  <c r="AB23" i="3"/>
  <c r="AA23" i="3"/>
  <c r="Z23" i="3"/>
  <c r="Y23" i="3"/>
  <c r="X23" i="3"/>
  <c r="W23" i="3"/>
  <c r="V23" i="3"/>
  <c r="U23" i="3"/>
  <c r="AW22" i="3"/>
  <c r="AV22" i="3"/>
  <c r="AU22" i="3"/>
  <c r="AT22" i="3"/>
  <c r="AS22" i="3"/>
  <c r="AR22" i="3"/>
  <c r="AQ22" i="3"/>
  <c r="AP22" i="3"/>
  <c r="AO22" i="3"/>
  <c r="AN22" i="3"/>
  <c r="AM22" i="3"/>
  <c r="AL22" i="3"/>
  <c r="AK22" i="3"/>
  <c r="AJ22" i="3"/>
  <c r="AI22" i="3"/>
  <c r="AH22" i="3"/>
  <c r="AG22" i="3"/>
  <c r="AF22" i="3"/>
  <c r="AE22" i="3"/>
  <c r="AD22" i="3"/>
  <c r="AC22" i="3"/>
  <c r="AB22" i="3"/>
  <c r="AA22" i="3"/>
  <c r="Z22" i="3"/>
  <c r="Y22" i="3"/>
  <c r="X22" i="3"/>
  <c r="W22" i="3"/>
  <c r="V22" i="3"/>
  <c r="U22" i="3"/>
  <c r="AW21" i="3"/>
  <c r="AV21" i="3"/>
  <c r="AU21" i="3"/>
  <c r="AT21" i="3"/>
  <c r="AS21" i="3"/>
  <c r="AR21" i="3"/>
  <c r="AQ21" i="3"/>
  <c r="AP21" i="3"/>
  <c r="AO21" i="3"/>
  <c r="AN21" i="3"/>
  <c r="AM21" i="3"/>
  <c r="AL21" i="3"/>
  <c r="AK21" i="3"/>
  <c r="AJ21" i="3"/>
  <c r="AI21" i="3"/>
  <c r="AH21" i="3"/>
  <c r="AG21" i="3"/>
  <c r="AF21" i="3"/>
  <c r="AE21" i="3"/>
  <c r="AD21" i="3"/>
  <c r="AC21" i="3"/>
  <c r="AB21" i="3"/>
  <c r="AA21" i="3"/>
  <c r="Z21" i="3"/>
  <c r="Y21" i="3"/>
  <c r="X21" i="3"/>
  <c r="W21" i="3"/>
  <c r="V21" i="3"/>
  <c r="U21" i="3"/>
  <c r="AW20" i="3"/>
  <c r="AV20" i="3"/>
  <c r="AU20" i="3"/>
  <c r="AT20" i="3"/>
  <c r="AS20" i="3"/>
  <c r="AR20" i="3"/>
  <c r="AQ20" i="3"/>
  <c r="AP20" i="3"/>
  <c r="AO20" i="3"/>
  <c r="AN20" i="3"/>
  <c r="AM20" i="3"/>
  <c r="AL20" i="3"/>
  <c r="AK20" i="3"/>
  <c r="AJ20" i="3"/>
  <c r="AI20" i="3"/>
  <c r="AH20" i="3"/>
  <c r="AG20" i="3"/>
  <c r="AF20" i="3"/>
  <c r="AE20" i="3"/>
  <c r="AD20" i="3"/>
  <c r="AC20" i="3"/>
  <c r="AB20" i="3"/>
  <c r="AA20" i="3"/>
  <c r="Z20" i="3"/>
  <c r="Y20" i="3"/>
  <c r="X20" i="3"/>
  <c r="W20" i="3"/>
  <c r="V20" i="3"/>
  <c r="U20" i="3"/>
  <c r="AW19" i="3"/>
  <c r="AV19" i="3"/>
  <c r="AU19" i="3"/>
  <c r="AT19" i="3"/>
  <c r="AS19" i="3"/>
  <c r="AR19" i="3"/>
  <c r="AQ19" i="3"/>
  <c r="AP19" i="3"/>
  <c r="AO19" i="3"/>
  <c r="AN19" i="3"/>
  <c r="AM19" i="3"/>
  <c r="AL19" i="3"/>
  <c r="AK19" i="3"/>
  <c r="AJ19" i="3"/>
  <c r="AI19" i="3"/>
  <c r="AH19" i="3"/>
  <c r="AG19" i="3"/>
  <c r="AF19" i="3"/>
  <c r="AE19" i="3"/>
  <c r="AD19" i="3"/>
  <c r="AC19" i="3"/>
  <c r="AB19" i="3"/>
  <c r="AA19" i="3"/>
  <c r="Z19" i="3"/>
  <c r="Y19" i="3"/>
  <c r="X19" i="3"/>
  <c r="W19" i="3"/>
  <c r="V19" i="3"/>
  <c r="U19" i="3"/>
  <c r="AW18" i="3"/>
  <c r="AV18" i="3"/>
  <c r="AU18" i="3"/>
  <c r="AT18" i="3"/>
  <c r="AS18" i="3"/>
  <c r="AR18" i="3"/>
  <c r="AQ18" i="3"/>
  <c r="AP18" i="3"/>
  <c r="AO18" i="3"/>
  <c r="AN18" i="3"/>
  <c r="AM18" i="3"/>
  <c r="AL18" i="3"/>
  <c r="AK18" i="3"/>
  <c r="AJ18" i="3"/>
  <c r="AI18" i="3"/>
  <c r="AH18" i="3"/>
  <c r="AG18" i="3"/>
  <c r="AF18" i="3"/>
  <c r="AE18" i="3"/>
  <c r="AD18" i="3"/>
  <c r="AC18" i="3"/>
  <c r="AB18" i="3"/>
  <c r="AA18" i="3"/>
  <c r="Z18" i="3"/>
  <c r="Y18" i="3"/>
  <c r="X18" i="3"/>
  <c r="W18" i="3"/>
  <c r="V18" i="3"/>
  <c r="U18" i="3"/>
  <c r="AW17" i="3"/>
  <c r="AV17" i="3"/>
  <c r="AU17" i="3"/>
  <c r="AT17" i="3"/>
  <c r="AS17" i="3"/>
  <c r="AR17" i="3"/>
  <c r="AQ17" i="3"/>
  <c r="AP17" i="3"/>
  <c r="AO17" i="3"/>
  <c r="AN17" i="3"/>
  <c r="AM17" i="3"/>
  <c r="AL17" i="3"/>
  <c r="AK17" i="3"/>
  <c r="AJ17" i="3"/>
  <c r="AI17" i="3"/>
  <c r="AH17" i="3"/>
  <c r="AG17" i="3"/>
  <c r="AF17" i="3"/>
  <c r="AE17" i="3"/>
  <c r="AD17" i="3"/>
  <c r="AC17" i="3"/>
  <c r="AB17" i="3"/>
  <c r="AA17" i="3"/>
  <c r="Z17" i="3"/>
  <c r="Y17" i="3"/>
  <c r="X17" i="3"/>
  <c r="W17" i="3"/>
  <c r="V17" i="3"/>
  <c r="U17" i="3"/>
  <c r="AW16" i="3"/>
  <c r="AV16" i="3"/>
  <c r="AU16" i="3"/>
  <c r="AT16" i="3"/>
  <c r="AS16" i="3"/>
  <c r="AR16" i="3"/>
  <c r="AQ16" i="3"/>
  <c r="AP16" i="3"/>
  <c r="AO16" i="3"/>
  <c r="AN16" i="3"/>
  <c r="AM16" i="3"/>
  <c r="AL16" i="3"/>
  <c r="AK16" i="3"/>
  <c r="AJ16" i="3"/>
  <c r="AI16" i="3"/>
  <c r="AH16" i="3"/>
  <c r="AG16" i="3"/>
  <c r="AF16" i="3"/>
  <c r="AE16" i="3"/>
  <c r="AD16" i="3"/>
  <c r="AC16" i="3"/>
  <c r="AB16" i="3"/>
  <c r="AA16" i="3"/>
  <c r="Z16" i="3"/>
  <c r="Y16" i="3"/>
  <c r="X16" i="3"/>
  <c r="W16" i="3"/>
  <c r="V16" i="3"/>
  <c r="U16" i="3"/>
  <c r="AW15" i="3"/>
  <c r="AV15" i="3"/>
  <c r="AU15" i="3"/>
  <c r="AT15" i="3"/>
  <c r="AS15" i="3"/>
  <c r="AR15" i="3"/>
  <c r="AQ15" i="3"/>
  <c r="AP15" i="3"/>
  <c r="AO15" i="3"/>
  <c r="AN15" i="3"/>
  <c r="AM15" i="3"/>
  <c r="AL15" i="3"/>
  <c r="AK15" i="3"/>
  <c r="AJ15" i="3"/>
  <c r="AI15" i="3"/>
  <c r="AH15" i="3"/>
  <c r="AG15" i="3"/>
  <c r="AF15" i="3"/>
  <c r="AE15" i="3"/>
  <c r="AD15" i="3"/>
  <c r="AC15" i="3"/>
  <c r="AB15" i="3"/>
  <c r="AA15" i="3"/>
  <c r="Z15" i="3"/>
  <c r="Y15" i="3"/>
  <c r="X15" i="3"/>
  <c r="W15" i="3"/>
  <c r="V15" i="3"/>
  <c r="U15" i="3"/>
  <c r="AW14" i="3"/>
  <c r="AV14" i="3"/>
  <c r="AU14" i="3"/>
  <c r="AT14" i="3"/>
  <c r="AS14" i="3"/>
  <c r="AR14" i="3"/>
  <c r="AQ14" i="3"/>
  <c r="AP14" i="3"/>
  <c r="AO14" i="3"/>
  <c r="AN14" i="3"/>
  <c r="AM14" i="3"/>
  <c r="AL14" i="3"/>
  <c r="AK14" i="3"/>
  <c r="AJ14" i="3"/>
  <c r="AI14" i="3"/>
  <c r="AH14" i="3"/>
  <c r="AG14" i="3"/>
  <c r="AF14" i="3"/>
  <c r="AE14" i="3"/>
  <c r="AD14" i="3"/>
  <c r="AC14" i="3"/>
  <c r="AB14" i="3"/>
  <c r="AA14" i="3"/>
  <c r="Z14" i="3"/>
  <c r="Y14" i="3"/>
  <c r="X14" i="3"/>
  <c r="W14" i="3"/>
  <c r="V14" i="3"/>
  <c r="U14" i="3"/>
  <c r="AW13" i="3"/>
  <c r="AV13" i="3"/>
  <c r="AU13" i="3"/>
  <c r="AT13" i="3"/>
  <c r="AS13" i="3"/>
  <c r="AR13" i="3"/>
  <c r="AQ13" i="3"/>
  <c r="AP13" i="3"/>
  <c r="AO13" i="3"/>
  <c r="AN13" i="3"/>
  <c r="AM13" i="3"/>
  <c r="AL13" i="3"/>
  <c r="AK13" i="3"/>
  <c r="AJ13" i="3"/>
  <c r="AI13" i="3"/>
  <c r="AH13" i="3"/>
  <c r="AG13" i="3"/>
  <c r="AF13" i="3"/>
  <c r="AE13" i="3"/>
  <c r="AD13" i="3"/>
  <c r="AC13" i="3"/>
  <c r="AB13" i="3"/>
  <c r="AA13" i="3"/>
  <c r="Z13" i="3"/>
  <c r="Y13" i="3"/>
  <c r="X13" i="3"/>
  <c r="W13" i="3"/>
  <c r="V13" i="3"/>
  <c r="U13" i="3"/>
  <c r="AW12" i="3"/>
  <c r="AV12" i="3"/>
  <c r="AU12" i="3"/>
  <c r="AT12" i="3"/>
  <c r="AS12" i="3"/>
  <c r="AR12" i="3"/>
  <c r="AQ12" i="3"/>
  <c r="AP12" i="3"/>
  <c r="AO12" i="3"/>
  <c r="AN12" i="3"/>
  <c r="AM12" i="3"/>
  <c r="AL12" i="3"/>
  <c r="AK12" i="3"/>
  <c r="AJ12" i="3"/>
  <c r="AI12" i="3"/>
  <c r="AH12" i="3"/>
  <c r="AG12" i="3"/>
  <c r="AF12" i="3"/>
  <c r="AE12" i="3"/>
  <c r="AD12" i="3"/>
  <c r="AC12" i="3"/>
  <c r="AB12" i="3"/>
  <c r="AA12" i="3"/>
  <c r="Z12" i="3"/>
  <c r="Y12" i="3"/>
  <c r="X12" i="3"/>
  <c r="W12" i="3"/>
  <c r="V12" i="3"/>
  <c r="U12" i="3"/>
  <c r="AO11" i="3"/>
  <c r="AR11" i="3" s="1"/>
  <c r="AM11" i="3"/>
  <c r="AK11" i="3"/>
  <c r="AH11" i="3"/>
  <c r="AG11" i="3"/>
  <c r="AF11" i="3"/>
  <c r="AE11" i="3"/>
  <c r="AD11" i="3"/>
  <c r="AB11" i="3"/>
  <c r="AA11" i="3"/>
  <c r="Z11" i="3"/>
  <c r="Y11" i="3"/>
  <c r="X11" i="3"/>
  <c r="AJ11" i="3" s="1"/>
  <c r="W11" i="3"/>
  <c r="V11" i="3"/>
  <c r="U11" i="3"/>
  <c r="AC11" i="3" s="1"/>
  <c r="AO10" i="3"/>
  <c r="AM10" i="3"/>
  <c r="AJ10" i="3"/>
  <c r="AI10" i="3"/>
  <c r="AH10" i="3"/>
  <c r="AG10" i="3"/>
  <c r="AF10" i="3"/>
  <c r="AE10" i="3"/>
  <c r="AD10" i="3"/>
  <c r="AB10" i="3"/>
  <c r="AA10" i="3"/>
  <c r="Z10" i="3"/>
  <c r="Y10" i="3"/>
  <c r="X10" i="3"/>
  <c r="W10" i="3"/>
  <c r="V10" i="3"/>
  <c r="AL10" i="3" s="1"/>
  <c r="U10" i="3"/>
  <c r="AC10" i="3" s="1"/>
  <c r="AO9" i="3"/>
  <c r="AM9" i="3"/>
  <c r="AJ9" i="3"/>
  <c r="AI9" i="3"/>
  <c r="AF9" i="3"/>
  <c r="AE9" i="3"/>
  <c r="AD9" i="3"/>
  <c r="AC9" i="3"/>
  <c r="AB9" i="3"/>
  <c r="AA9" i="3"/>
  <c r="Z9" i="3"/>
  <c r="Y9" i="3"/>
  <c r="X9" i="3"/>
  <c r="W9" i="3"/>
  <c r="AG9" i="3" s="1"/>
  <c r="V9" i="3"/>
  <c r="U9" i="3"/>
  <c r="AL9" i="3" s="1"/>
  <c r="AO8" i="3"/>
  <c r="AM8" i="3"/>
  <c r="AJ8" i="3"/>
  <c r="AI8" i="3"/>
  <c r="AG8" i="3"/>
  <c r="AF8" i="3"/>
  <c r="AE8" i="3"/>
  <c r="AD8" i="3"/>
  <c r="AC8" i="3"/>
  <c r="AB8" i="3"/>
  <c r="AA8" i="3"/>
  <c r="Z8" i="3"/>
  <c r="Y8" i="3"/>
  <c r="X8" i="3"/>
  <c r="W8" i="3"/>
  <c r="V8" i="3"/>
  <c r="U8" i="3"/>
  <c r="AL8" i="3" s="1"/>
  <c r="B46" i="1"/>
  <c r="B45" i="1"/>
  <c r="B44" i="1"/>
  <c r="B43" i="1"/>
  <c r="B42" i="1"/>
  <c r="F36" i="1"/>
  <c r="C31" i="1"/>
  <c r="R65" i="8" l="1"/>
  <c r="S65" i="8"/>
  <c r="Z65" i="8"/>
  <c r="AA65" i="8"/>
  <c r="AB65" i="8"/>
  <c r="AR9" i="3"/>
  <c r="AL11" i="3"/>
  <c r="AN11" i="3" s="1"/>
  <c r="AP11" i="3" s="1"/>
  <c r="AD65" i="8"/>
  <c r="Y56" i="8"/>
  <c r="L65" i="8"/>
  <c r="AF65" i="8"/>
  <c r="Z56" i="8"/>
  <c r="M65" i="8"/>
  <c r="AK10" i="3"/>
  <c r="AN10" i="3" s="1"/>
  <c r="AP10" i="3" s="1"/>
  <c r="AQ10" i="3" s="1"/>
  <c r="N65" i="8"/>
  <c r="AE65" i="8"/>
  <c r="AI11" i="3"/>
  <c r="AR8" i="3"/>
  <c r="I56" i="8"/>
  <c r="AB56" i="8"/>
  <c r="O65" i="8"/>
  <c r="I62" i="8"/>
  <c r="Y62" i="8" s="1"/>
  <c r="AH9" i="3"/>
  <c r="AK9" i="3" s="1"/>
  <c r="AN9" i="3" s="1"/>
  <c r="AP9" i="3" s="1"/>
  <c r="D7" i="1"/>
  <c r="C6" i="8"/>
  <c r="I64" i="8"/>
  <c r="Y64" i="8" s="1"/>
  <c r="Y69" i="8"/>
  <c r="Y68" i="8"/>
  <c r="I57" i="8"/>
  <c r="Y57" i="8" s="1"/>
  <c r="AH8" i="3"/>
  <c r="AK8" i="3" s="1"/>
  <c r="AN8" i="3" s="1"/>
  <c r="AP8" i="3" s="1"/>
  <c r="AR10" i="3"/>
  <c r="I60" i="8"/>
  <c r="Y60" i="8" s="1"/>
  <c r="T65" i="8"/>
  <c r="P56" i="8"/>
  <c r="AD56" i="8"/>
  <c r="Y61" i="8"/>
  <c r="I63" i="8"/>
  <c r="U65" i="8"/>
  <c r="C22" i="8"/>
  <c r="Q56" i="8"/>
  <c r="AE56" i="8"/>
  <c r="V65" i="8"/>
  <c r="R56" i="8"/>
  <c r="AF56" i="8"/>
  <c r="Y63" i="8"/>
  <c r="I65" i="8"/>
  <c r="W65" i="8"/>
  <c r="S56" i="8"/>
  <c r="J65" i="8"/>
  <c r="X65" i="8"/>
  <c r="I66" i="8"/>
  <c r="Y66" i="8" s="1"/>
  <c r="K65" i="8"/>
  <c r="AS10" i="3" l="1"/>
  <c r="AU10" i="3" s="1"/>
  <c r="AV10" i="3" s="1"/>
  <c r="AW10" i="3"/>
  <c r="AQ11" i="3"/>
  <c r="AS11" i="3" s="1"/>
  <c r="AU11" i="3" s="1"/>
  <c r="AV11" i="3" s="1"/>
  <c r="AT11" i="3"/>
  <c r="AT10" i="3"/>
  <c r="AT8" i="3"/>
  <c r="AQ8" i="3"/>
  <c r="D57" i="8"/>
  <c r="C41" i="8"/>
  <c r="D56" i="8"/>
  <c r="D69" i="8"/>
  <c r="D55" i="8"/>
  <c r="C39" i="8"/>
  <c r="D68" i="8"/>
  <c r="C38" i="8"/>
  <c r="D67" i="8"/>
  <c r="C37" i="8"/>
  <c r="D66" i="8"/>
  <c r="D64" i="8"/>
  <c r="C48" i="8"/>
  <c r="D62" i="8"/>
  <c r="C30" i="8"/>
  <c r="D61" i="8"/>
  <c r="D60" i="8"/>
  <c r="C38" i="1" s="1"/>
  <c r="D63" i="8"/>
  <c r="D59" i="8"/>
  <c r="C37" i="1" s="1"/>
  <c r="C19" i="8"/>
  <c r="C21" i="8" s="1"/>
  <c r="C31" i="8"/>
  <c r="C121" i="8"/>
  <c r="F7" i="1" s="1"/>
  <c r="D58" i="8"/>
  <c r="C36" i="1" s="1"/>
  <c r="D65" i="8"/>
  <c r="AT9" i="3"/>
  <c r="AQ9" i="3"/>
  <c r="AW11" i="3" l="1"/>
  <c r="C50" i="8"/>
  <c r="H62" i="8" s="1"/>
  <c r="L62" i="8" s="1"/>
  <c r="C42" i="8"/>
  <c r="C20" i="8"/>
  <c r="AS9" i="3"/>
  <c r="AU9" i="3" s="1"/>
  <c r="AV9" i="3" s="1"/>
  <c r="AW9" i="3"/>
  <c r="C32" i="8"/>
  <c r="H68" i="8"/>
  <c r="L68" i="8" s="1"/>
  <c r="H60" i="8"/>
  <c r="L60" i="8" s="1"/>
  <c r="H69" i="8"/>
  <c r="L69" i="8" s="1"/>
  <c r="H63" i="8"/>
  <c r="L63" i="8" s="1"/>
  <c r="H61" i="8"/>
  <c r="L61" i="8" s="1"/>
  <c r="H66" i="8"/>
  <c r="L66" i="8" s="1"/>
  <c r="H64" i="8"/>
  <c r="L64" i="8" s="1"/>
  <c r="H57" i="8"/>
  <c r="L57" i="8" s="1"/>
  <c r="C40" i="8"/>
  <c r="AS8" i="3"/>
  <c r="AU8" i="3" s="1"/>
  <c r="AV8" i="3" s="1"/>
  <c r="AW8" i="3"/>
  <c r="C75" i="8" l="1"/>
  <c r="C74" i="8"/>
  <c r="E55" i="8"/>
  <c r="E67" i="8"/>
  <c r="C78" i="8"/>
  <c r="C76" i="8"/>
  <c r="C77" i="8"/>
  <c r="E58" i="8"/>
  <c r="C47" i="8"/>
  <c r="G68" i="8" s="1"/>
  <c r="J68" i="8" s="1"/>
  <c r="C43" i="8"/>
  <c r="C45" i="8"/>
  <c r="C46" i="8"/>
  <c r="G62" i="8" s="1"/>
  <c r="J62" i="8" s="1"/>
  <c r="C44" i="8"/>
  <c r="G59" i="8" s="1"/>
  <c r="C49" i="8"/>
  <c r="H59" i="8" s="1"/>
  <c r="L59" i="8" s="1"/>
  <c r="G61" i="8" l="1"/>
  <c r="J61" i="8" s="1"/>
  <c r="G64" i="8"/>
  <c r="J64" i="8" s="1"/>
  <c r="AF58" i="8"/>
  <c r="R58" i="8"/>
  <c r="AE58" i="8"/>
  <c r="Q58" i="8"/>
  <c r="AD58" i="8"/>
  <c r="P58" i="8"/>
  <c r="AC58" i="8"/>
  <c r="O58" i="8"/>
  <c r="G36" i="1" s="1"/>
  <c r="AB58" i="8"/>
  <c r="N58" i="8"/>
  <c r="AA58" i="8"/>
  <c r="M58" i="8"/>
  <c r="H36" i="1" s="1"/>
  <c r="Y58" i="8"/>
  <c r="K58" i="8"/>
  <c r="W58" i="8"/>
  <c r="I58" i="8"/>
  <c r="V58" i="8"/>
  <c r="U58" i="8"/>
  <c r="X58" i="8"/>
  <c r="T58" i="8"/>
  <c r="S58" i="8"/>
  <c r="L58" i="8"/>
  <c r="I36" i="1"/>
  <c r="J58" i="8"/>
  <c r="Z58" i="8"/>
  <c r="K62" i="8"/>
  <c r="U62" i="8"/>
  <c r="U68" i="8"/>
  <c r="K68" i="8"/>
  <c r="W67" i="8"/>
  <c r="I67" i="8"/>
  <c r="V67" i="8"/>
  <c r="U67" i="8"/>
  <c r="T67" i="8"/>
  <c r="S67" i="8"/>
  <c r="AF67" i="8"/>
  <c r="R67" i="8"/>
  <c r="AD67" i="8"/>
  <c r="P67" i="8"/>
  <c r="AB67" i="8"/>
  <c r="N67" i="8"/>
  <c r="AA67" i="8"/>
  <c r="M67" i="8"/>
  <c r="Z67" i="8"/>
  <c r="L67" i="8"/>
  <c r="Y67" i="8"/>
  <c r="X67" i="8"/>
  <c r="AC67" i="8"/>
  <c r="Q67" i="8"/>
  <c r="J67" i="8"/>
  <c r="O67" i="8"/>
  <c r="K67" i="8"/>
  <c r="AE67" i="8"/>
  <c r="J59" i="8"/>
  <c r="F37" i="1"/>
  <c r="G69" i="8"/>
  <c r="J69" i="8" s="1"/>
  <c r="G63" i="8"/>
  <c r="J63" i="8" s="1"/>
  <c r="G57" i="8"/>
  <c r="J57" i="8" s="1"/>
  <c r="G66" i="8"/>
  <c r="J66" i="8" s="1"/>
  <c r="G60" i="8"/>
  <c r="C51" i="8"/>
  <c r="U55" i="8"/>
  <c r="T55" i="8"/>
  <c r="S55" i="8"/>
  <c r="AF55" i="8"/>
  <c r="R55" i="8"/>
  <c r="AE55" i="8"/>
  <c r="Q55" i="8"/>
  <c r="AD55" i="8"/>
  <c r="P55" i="8"/>
  <c r="AB55" i="8"/>
  <c r="N55" i="8"/>
  <c r="Z55" i="8"/>
  <c r="L55" i="8"/>
  <c r="Y55" i="8"/>
  <c r="K55" i="8"/>
  <c r="X55" i="8"/>
  <c r="J55" i="8"/>
  <c r="V55" i="8"/>
  <c r="O55" i="8"/>
  <c r="M55" i="8"/>
  <c r="I55" i="8"/>
  <c r="AC55" i="8"/>
  <c r="AA55" i="8"/>
  <c r="W55" i="8"/>
  <c r="U59" i="8" l="1"/>
  <c r="K59" i="8"/>
  <c r="M62" i="8"/>
  <c r="O62" i="8" s="1"/>
  <c r="N62" i="8"/>
  <c r="J60" i="8"/>
  <c r="F38" i="1"/>
  <c r="K66" i="8"/>
  <c r="U66" i="8"/>
  <c r="U57" i="8"/>
  <c r="K57" i="8"/>
  <c r="K69" i="8"/>
  <c r="U69" i="8"/>
  <c r="U64" i="8"/>
  <c r="K64" i="8"/>
  <c r="U63" i="8"/>
  <c r="K63" i="8"/>
  <c r="M68" i="8"/>
  <c r="O68" i="8" s="1"/>
  <c r="N68" i="8"/>
  <c r="V68" i="8"/>
  <c r="W68" i="8"/>
  <c r="V62" i="8"/>
  <c r="W62" i="8"/>
  <c r="U61" i="8"/>
  <c r="K61" i="8"/>
  <c r="V57" i="8" l="1"/>
  <c r="W57" i="8"/>
  <c r="M59" i="8"/>
  <c r="N59" i="8"/>
  <c r="V59" i="8"/>
  <c r="W59" i="8"/>
  <c r="M61" i="8"/>
  <c r="O61" i="8" s="1"/>
  <c r="N61" i="8"/>
  <c r="M63" i="8"/>
  <c r="O63" i="8" s="1"/>
  <c r="N63" i="8"/>
  <c r="U60" i="8"/>
  <c r="K60" i="8"/>
  <c r="V61" i="8"/>
  <c r="W61" i="8"/>
  <c r="V63" i="8"/>
  <c r="W63" i="8"/>
  <c r="M66" i="8"/>
  <c r="O66" i="8" s="1"/>
  <c r="N66" i="8"/>
  <c r="V64" i="8"/>
  <c r="W64" i="8"/>
  <c r="P62" i="8"/>
  <c r="S62" i="8"/>
  <c r="S68" i="8"/>
  <c r="P68" i="8"/>
  <c r="M69" i="8"/>
  <c r="O69" i="8" s="1"/>
  <c r="N69" i="8"/>
  <c r="AD78" i="8" s="1"/>
  <c r="M57" i="8"/>
  <c r="O57" i="8" s="1"/>
  <c r="N57" i="8"/>
  <c r="V66" i="8"/>
  <c r="W66" i="8"/>
  <c r="M64" i="8"/>
  <c r="O64" i="8" s="1"/>
  <c r="N64" i="8"/>
  <c r="AD77" i="8" s="1"/>
  <c r="V69" i="8"/>
  <c r="W69" i="8"/>
  <c r="S57" i="8" l="1"/>
  <c r="P57" i="8"/>
  <c r="M60" i="8"/>
  <c r="N60" i="8"/>
  <c r="P69" i="8"/>
  <c r="S69" i="8"/>
  <c r="V60" i="8"/>
  <c r="W60" i="8"/>
  <c r="S63" i="8"/>
  <c r="P63" i="8"/>
  <c r="Z62" i="8"/>
  <c r="R62" i="8"/>
  <c r="Q62" i="8"/>
  <c r="T62" i="8"/>
  <c r="X62" i="8" s="1"/>
  <c r="S64" i="8"/>
  <c r="P64" i="8"/>
  <c r="R68" i="8"/>
  <c r="Q68" i="8"/>
  <c r="Z68" i="8"/>
  <c r="T68" i="8"/>
  <c r="X68" i="8" s="1"/>
  <c r="AD76" i="8"/>
  <c r="S61" i="8"/>
  <c r="P61" i="8"/>
  <c r="AD75" i="8"/>
  <c r="C105" i="8" s="1"/>
  <c r="S66" i="8"/>
  <c r="P66" i="8"/>
  <c r="H37" i="1"/>
  <c r="O59" i="8"/>
  <c r="AD74" i="8"/>
  <c r="G37" i="1" l="1"/>
  <c r="S59" i="8"/>
  <c r="P59" i="8"/>
  <c r="AB62" i="8"/>
  <c r="AF62" i="8"/>
  <c r="AA62" i="8"/>
  <c r="AD62" i="8"/>
  <c r="AC62" i="8"/>
  <c r="AE62" i="8"/>
  <c r="Q66" i="8"/>
  <c r="Z66" i="8"/>
  <c r="R66" i="8"/>
  <c r="T66" i="8"/>
  <c r="X66" i="8" s="1"/>
  <c r="R63" i="8"/>
  <c r="Q63" i="8"/>
  <c r="T63" i="8"/>
  <c r="X63" i="8" s="1"/>
  <c r="Z63" i="8"/>
  <c r="R69" i="8"/>
  <c r="Q69" i="8"/>
  <c r="Z69" i="8"/>
  <c r="AC78" i="8" s="1"/>
  <c r="T69" i="8"/>
  <c r="X69" i="8" s="1"/>
  <c r="T57" i="8"/>
  <c r="X57" i="8" s="1"/>
  <c r="R57" i="8"/>
  <c r="Z57" i="8"/>
  <c r="AC74" i="8" s="1"/>
  <c r="Q57" i="8"/>
  <c r="Q61" i="8"/>
  <c r="T61" i="8"/>
  <c r="X61" i="8" s="1"/>
  <c r="Z61" i="8"/>
  <c r="R61" i="8"/>
  <c r="AF68" i="8"/>
  <c r="AE68" i="8"/>
  <c r="AC68" i="8"/>
  <c r="AA68" i="8"/>
  <c r="AD68" i="8"/>
  <c r="AB68" i="8"/>
  <c r="H38" i="1"/>
  <c r="O60" i="8"/>
  <c r="R64" i="8"/>
  <c r="T64" i="8"/>
  <c r="X64" i="8" s="1"/>
  <c r="Z64" i="8"/>
  <c r="AC77" i="8" s="1"/>
  <c r="Q64" i="8"/>
  <c r="AE61" i="8" l="1"/>
  <c r="AD61" i="8"/>
  <c r="AC61" i="8"/>
  <c r="AF61" i="8"/>
  <c r="AA61" i="8"/>
  <c r="AB61" i="8"/>
  <c r="AA57" i="8"/>
  <c r="D74" i="8" s="1"/>
  <c r="J74" i="8" s="1"/>
  <c r="AC57" i="8"/>
  <c r="F74" i="8" s="1"/>
  <c r="AE57" i="8"/>
  <c r="H74" i="8" s="1"/>
  <c r="AB57" i="8"/>
  <c r="E74" i="8" s="1"/>
  <c r="AD57" i="8"/>
  <c r="G74" i="8" s="1"/>
  <c r="AF57" i="8"/>
  <c r="I74" i="8" s="1"/>
  <c r="AE66" i="8"/>
  <c r="AC66" i="8"/>
  <c r="AB66" i="8"/>
  <c r="AA66" i="8"/>
  <c r="AF66" i="8"/>
  <c r="AD66" i="8"/>
  <c r="AF69" i="8"/>
  <c r="I78" i="8" s="1"/>
  <c r="AE69" i="8"/>
  <c r="AD69" i="8"/>
  <c r="G78" i="8" s="1"/>
  <c r="AB69" i="8"/>
  <c r="AC69" i="8"/>
  <c r="F78" i="8" s="1"/>
  <c r="AA69" i="8"/>
  <c r="D78" i="8" s="1"/>
  <c r="J78" i="8" s="1"/>
  <c r="H78" i="8"/>
  <c r="E78" i="8"/>
  <c r="G38" i="1"/>
  <c r="S60" i="8"/>
  <c r="P60" i="8"/>
  <c r="I37" i="1"/>
  <c r="R59" i="8"/>
  <c r="T59" i="8"/>
  <c r="X59" i="8" s="1"/>
  <c r="Q59" i="8"/>
  <c r="Z59" i="8"/>
  <c r="AC76" i="8"/>
  <c r="AF64" i="8"/>
  <c r="AB64" i="8"/>
  <c r="AA64" i="8"/>
  <c r="AE64" i="8"/>
  <c r="AD64" i="8"/>
  <c r="AC64" i="8"/>
  <c r="AF63" i="8"/>
  <c r="AE63" i="8"/>
  <c r="AC63" i="8"/>
  <c r="AB63" i="8"/>
  <c r="AA63" i="8"/>
  <c r="AD63" i="8"/>
  <c r="D77" i="8" l="1"/>
  <c r="J77" i="8" s="1"/>
  <c r="K77" i="8" s="1"/>
  <c r="E77" i="8"/>
  <c r="I77" i="8"/>
  <c r="I76" i="8"/>
  <c r="M78" i="8"/>
  <c r="C46" i="1" s="1"/>
  <c r="K78" i="8"/>
  <c r="P78" i="8"/>
  <c r="AF59" i="8"/>
  <c r="AB59" i="8"/>
  <c r="AC59" i="8"/>
  <c r="AE59" i="8"/>
  <c r="AD59" i="8"/>
  <c r="AA59" i="8"/>
  <c r="D76" i="8"/>
  <c r="J76" i="8" s="1"/>
  <c r="F76" i="8"/>
  <c r="E76" i="8"/>
  <c r="I38" i="1"/>
  <c r="R60" i="8"/>
  <c r="Q60" i="8"/>
  <c r="Z60" i="8"/>
  <c r="AC75" i="8" s="1"/>
  <c r="C104" i="8" s="1"/>
  <c r="T60" i="8"/>
  <c r="X60" i="8" s="1"/>
  <c r="F77" i="8"/>
  <c r="G77" i="8"/>
  <c r="G76" i="8"/>
  <c r="P74" i="8"/>
  <c r="M74" i="8"/>
  <c r="C42" i="1" s="1"/>
  <c r="K74" i="8"/>
  <c r="L74" i="8"/>
  <c r="H77" i="8"/>
  <c r="H76" i="8"/>
  <c r="M77" i="8" l="1"/>
  <c r="C45" i="1" s="1"/>
  <c r="L77" i="8"/>
  <c r="Y77" i="8"/>
  <c r="P77" i="8"/>
  <c r="O77" i="8"/>
  <c r="H45" i="1" s="1"/>
  <c r="AA77" i="8"/>
  <c r="R77" i="8"/>
  <c r="V77" i="8" s="1"/>
  <c r="W77" i="8"/>
  <c r="X77" i="8" s="1"/>
  <c r="P76" i="8"/>
  <c r="M76" i="8"/>
  <c r="C44" i="1" s="1"/>
  <c r="Y76" i="8"/>
  <c r="K76" i="8"/>
  <c r="L76" i="8" s="1"/>
  <c r="Q74" i="8"/>
  <c r="U74" i="8" s="1"/>
  <c r="N74" i="8"/>
  <c r="F42" i="1" s="1"/>
  <c r="Z74" i="8"/>
  <c r="AB78" i="8"/>
  <c r="J46" i="1" s="1"/>
  <c r="T78" i="8"/>
  <c r="N78" i="8"/>
  <c r="F46" i="1" s="1"/>
  <c r="Z78" i="8"/>
  <c r="Q78" i="8"/>
  <c r="U78" i="8" s="1"/>
  <c r="N77" i="8"/>
  <c r="F45" i="1" s="1"/>
  <c r="Z77" i="8"/>
  <c r="Q77" i="8"/>
  <c r="U77" i="8" s="1"/>
  <c r="AB77" i="8"/>
  <c r="J45" i="1" s="1"/>
  <c r="T77" i="8"/>
  <c r="AB74" i="8"/>
  <c r="J42" i="1" s="1"/>
  <c r="T74" i="8"/>
  <c r="L78" i="8"/>
  <c r="AF60" i="8"/>
  <c r="I75" i="8" s="1"/>
  <c r="C91" i="8" s="1"/>
  <c r="AE60" i="8"/>
  <c r="H75" i="8" s="1"/>
  <c r="C90" i="8" s="1"/>
  <c r="AB60" i="8"/>
  <c r="E75" i="8" s="1"/>
  <c r="C87" i="8" s="1"/>
  <c r="C111" i="8" s="1"/>
  <c r="C112" i="8" s="1"/>
  <c r="AD60" i="8"/>
  <c r="G75" i="8" s="1"/>
  <c r="C89" i="8" s="1"/>
  <c r="AA60" i="8"/>
  <c r="D75" i="8" s="1"/>
  <c r="AC60" i="8"/>
  <c r="F75" i="8" s="1"/>
  <c r="C88" i="8" s="1"/>
  <c r="R74" i="8"/>
  <c r="V74" i="8" s="1"/>
  <c r="O74" i="8"/>
  <c r="H42" i="1" s="1"/>
  <c r="AA74" i="8"/>
  <c r="W74" i="8"/>
  <c r="W76" i="8" l="1"/>
  <c r="X76" i="8" s="1"/>
  <c r="S74" i="8"/>
  <c r="J75" i="8"/>
  <c r="C86" i="8"/>
  <c r="C106" i="8" s="1"/>
  <c r="C107" i="8" s="1"/>
  <c r="C113" i="8"/>
  <c r="C114" i="8" s="1"/>
  <c r="N76" i="8"/>
  <c r="F44" i="1" s="1"/>
  <c r="Z76" i="8"/>
  <c r="Q76" i="8"/>
  <c r="U76" i="8" s="1"/>
  <c r="AA78" i="8"/>
  <c r="R78" i="8"/>
  <c r="V78" i="8" s="1"/>
  <c r="O78" i="8"/>
  <c r="H46" i="1" s="1"/>
  <c r="W78" i="8"/>
  <c r="O76" i="8"/>
  <c r="H44" i="1" s="1"/>
  <c r="AA76" i="8"/>
  <c r="R76" i="8"/>
  <c r="V76" i="8" s="1"/>
  <c r="AB76" i="8"/>
  <c r="J44" i="1" s="1"/>
  <c r="T76" i="8"/>
  <c r="C116" i="8"/>
  <c r="C117" i="8" s="1"/>
  <c r="X74" i="8"/>
  <c r="Y74" i="8"/>
  <c r="S77" i="8"/>
  <c r="C118" i="8" l="1"/>
  <c r="C119" i="8" s="1"/>
  <c r="S76" i="8"/>
  <c r="C108" i="8"/>
  <c r="C109" i="8"/>
  <c r="S78" i="8"/>
  <c r="X78" i="8"/>
  <c r="Y78" i="8"/>
  <c r="P75" i="8"/>
  <c r="M75" i="8"/>
  <c r="C83" i="8"/>
  <c r="K75" i="8"/>
  <c r="L75" i="8" s="1"/>
  <c r="W75" i="8" s="1"/>
  <c r="X75" i="8" l="1"/>
  <c r="Y75" i="8"/>
  <c r="C101" i="8" s="1"/>
  <c r="O75" i="8"/>
  <c r="AA75" i="8"/>
  <c r="C103" i="8" s="1"/>
  <c r="R75" i="8"/>
  <c r="C85" i="8"/>
  <c r="C120" i="8" s="1"/>
  <c r="G14" i="1" s="1"/>
  <c r="C110" i="8"/>
  <c r="G10" i="1" s="1"/>
  <c r="C43" i="1"/>
  <c r="C92" i="8"/>
  <c r="AB75" i="8"/>
  <c r="J43" i="1" s="1"/>
  <c r="T75" i="8"/>
  <c r="C98" i="8" s="1"/>
  <c r="I9" i="1" s="1"/>
  <c r="C95" i="8"/>
  <c r="S75" i="8"/>
  <c r="C82" i="8" s="1"/>
  <c r="F6" i="1" s="1"/>
  <c r="Q75" i="8"/>
  <c r="N75" i="8"/>
  <c r="Z75" i="8"/>
  <c r="C102" i="8" s="1"/>
  <c r="C84" i="8"/>
  <c r="C115" i="8" s="1"/>
  <c r="G12" i="1" s="1"/>
  <c r="C123" i="8" l="1"/>
  <c r="B49" i="1" s="1"/>
  <c r="H43" i="1"/>
  <c r="C94" i="8"/>
  <c r="C97" i="8"/>
  <c r="V75" i="8"/>
  <c r="C100" i="8" s="1"/>
  <c r="I13" i="1" s="1"/>
  <c r="C180" i="8"/>
  <c r="C131" i="8"/>
  <c r="C155" i="8"/>
  <c r="C179" i="8"/>
  <c r="C130" i="8"/>
  <c r="C178" i="8"/>
  <c r="C163" i="8"/>
  <c r="C188" i="8"/>
  <c r="C139" i="8"/>
  <c r="C156" i="8"/>
  <c r="C196" i="8"/>
  <c r="C147" i="8"/>
  <c r="C143" i="8"/>
  <c r="C173" i="8"/>
  <c r="C197" i="8"/>
  <c r="C148" i="8"/>
  <c r="C172" i="8"/>
  <c r="C169" i="8"/>
  <c r="C170" i="8"/>
  <c r="C181" i="8"/>
  <c r="C132" i="8"/>
  <c r="C198" i="8"/>
  <c r="C149" i="8"/>
  <c r="C189" i="8"/>
  <c r="C140" i="8"/>
  <c r="C129" i="8"/>
  <c r="C141" i="8"/>
  <c r="C164" i="8"/>
  <c r="C166" i="8"/>
  <c r="C190" i="8"/>
  <c r="C165" i="8"/>
  <c r="C157" i="8"/>
  <c r="C192" i="8"/>
  <c r="C194" i="8"/>
  <c r="C174" i="8"/>
  <c r="C191" i="8"/>
  <c r="C142" i="8"/>
  <c r="C182" i="8"/>
  <c r="C133" i="8"/>
  <c r="C159" i="8"/>
  <c r="C183" i="8"/>
  <c r="C134" i="8"/>
  <c r="C158" i="8"/>
  <c r="C136" i="8"/>
  <c r="C160" i="8"/>
  <c r="C168" i="8"/>
  <c r="C153" i="8"/>
  <c r="C161" i="8"/>
  <c r="C138" i="8"/>
  <c r="C186" i="8"/>
  <c r="C195" i="8"/>
  <c r="C167" i="8"/>
  <c r="C184" i="8"/>
  <c r="C135" i="8"/>
  <c r="C175" i="8"/>
  <c r="C171" i="8"/>
  <c r="C177" i="8"/>
  <c r="C145" i="8"/>
  <c r="C144" i="8"/>
  <c r="C150" i="8"/>
  <c r="C162" i="8"/>
  <c r="C146" i="8"/>
  <c r="C154" i="8"/>
  <c r="C152" i="8"/>
  <c r="C176" i="8"/>
  <c r="C127" i="8"/>
  <c r="C151" i="8"/>
  <c r="C185" i="8"/>
  <c r="C128" i="8"/>
  <c r="C193" i="8"/>
  <c r="C187" i="8"/>
  <c r="C137" i="8"/>
  <c r="D135" i="8"/>
  <c r="D187" i="8"/>
  <c r="D155" i="8"/>
  <c r="D157" i="8"/>
  <c r="D137" i="8"/>
  <c r="D171" i="8"/>
  <c r="D128" i="8"/>
  <c r="D180" i="8"/>
  <c r="D185" i="8"/>
  <c r="D148" i="8"/>
  <c r="D194" i="8"/>
  <c r="D195" i="8"/>
  <c r="D176" i="8"/>
  <c r="D173" i="8"/>
  <c r="D192" i="8"/>
  <c r="D136" i="8"/>
  <c r="D130" i="8"/>
  <c r="D183" i="8"/>
  <c r="D129" i="8"/>
  <c r="D188" i="8"/>
  <c r="D166" i="8"/>
  <c r="D196" i="8"/>
  <c r="D179" i="8"/>
  <c r="D144" i="8"/>
  <c r="D159" i="8"/>
  <c r="D189" i="8"/>
  <c r="D181" i="8"/>
  <c r="D143" i="8"/>
  <c r="D147" i="8"/>
  <c r="D174" i="8"/>
  <c r="D198" i="8"/>
  <c r="D152" i="8"/>
  <c r="D182" i="8"/>
  <c r="D150" i="8"/>
  <c r="D167" i="8"/>
  <c r="D191" i="8"/>
  <c r="D145" i="8"/>
  <c r="D175" i="8"/>
  <c r="D165" i="8"/>
  <c r="D158" i="8"/>
  <c r="D149" i="8"/>
  <c r="D160" i="8"/>
  <c r="D184" i="8"/>
  <c r="D138" i="8"/>
  <c r="D168" i="8"/>
  <c r="D127" i="8"/>
  <c r="D154" i="8"/>
  <c r="D139" i="8"/>
  <c r="D141" i="8"/>
  <c r="D178" i="8"/>
  <c r="D132" i="8"/>
  <c r="D169" i="8"/>
  <c r="D162" i="8"/>
  <c r="D133" i="8"/>
  <c r="D172" i="8"/>
  <c r="D153" i="8"/>
  <c r="D177" i="8"/>
  <c r="D131" i="8"/>
  <c r="D161" i="8"/>
  <c r="D186" i="8"/>
  <c r="D134" i="8"/>
  <c r="D146" i="8"/>
  <c r="D170" i="8"/>
  <c r="D193" i="8"/>
  <c r="D163" i="8"/>
  <c r="D197" i="8"/>
  <c r="D156" i="8"/>
  <c r="D140" i="8"/>
  <c r="D164" i="8"/>
  <c r="D151" i="8"/>
  <c r="D142" i="8"/>
  <c r="D190" i="8"/>
  <c r="F198" i="8"/>
  <c r="F191" i="8"/>
  <c r="F184" i="8"/>
  <c r="F177" i="8"/>
  <c r="F170" i="8"/>
  <c r="F163" i="8"/>
  <c r="F156" i="8"/>
  <c r="F149" i="8"/>
  <c r="F142" i="8"/>
  <c r="F135" i="8"/>
  <c r="F128" i="8"/>
  <c r="F194" i="8"/>
  <c r="F187" i="8"/>
  <c r="F180" i="8"/>
  <c r="F173" i="8"/>
  <c r="F166" i="8"/>
  <c r="F159" i="8"/>
  <c r="F152" i="8"/>
  <c r="F145" i="8"/>
  <c r="F138" i="8"/>
  <c r="F131" i="8"/>
  <c r="F193" i="8"/>
  <c r="F172" i="8"/>
  <c r="F165" i="8"/>
  <c r="F179" i="8"/>
  <c r="F197" i="8"/>
  <c r="F190" i="8"/>
  <c r="F183" i="8"/>
  <c r="F176" i="8"/>
  <c r="F169" i="8"/>
  <c r="F162" i="8"/>
  <c r="F155" i="8"/>
  <c r="F148" i="8"/>
  <c r="F141" i="8"/>
  <c r="F134" i="8"/>
  <c r="F127" i="8"/>
  <c r="F192" i="8"/>
  <c r="F185" i="8"/>
  <c r="F178" i="8"/>
  <c r="F171" i="8"/>
  <c r="F164" i="8"/>
  <c r="F157" i="8"/>
  <c r="F150" i="8"/>
  <c r="F143" i="8"/>
  <c r="F136" i="8"/>
  <c r="F129" i="8"/>
  <c r="F196" i="8"/>
  <c r="F167" i="8"/>
  <c r="F153" i="8"/>
  <c r="F154" i="8"/>
  <c r="F195" i="8"/>
  <c r="F182" i="8"/>
  <c r="F140" i="8"/>
  <c r="F130" i="8"/>
  <c r="F181" i="8"/>
  <c r="F151" i="8"/>
  <c r="F139" i="8"/>
  <c r="F168" i="8"/>
  <c r="F137" i="8"/>
  <c r="F161" i="8"/>
  <c r="F160" i="8"/>
  <c r="F189" i="8"/>
  <c r="F175" i="8"/>
  <c r="F147" i="8"/>
  <c r="F188" i="8"/>
  <c r="F174" i="8"/>
  <c r="F158" i="8"/>
  <c r="F146" i="8"/>
  <c r="F133" i="8"/>
  <c r="F186" i="8"/>
  <c r="F144" i="8"/>
  <c r="F132" i="8"/>
  <c r="E191" i="8"/>
  <c r="E142" i="8"/>
  <c r="E159" i="8"/>
  <c r="E150" i="8"/>
  <c r="E176" i="8"/>
  <c r="E127" i="8"/>
  <c r="E151" i="8"/>
  <c r="E175" i="8"/>
  <c r="E167" i="8"/>
  <c r="E166" i="8"/>
  <c r="E182" i="8"/>
  <c r="E139" i="8"/>
  <c r="E184" i="8"/>
  <c r="E135" i="8"/>
  <c r="E152" i="8"/>
  <c r="E192" i="8"/>
  <c r="E143" i="8"/>
  <c r="E153" i="8"/>
  <c r="E174" i="8"/>
  <c r="E189" i="8"/>
  <c r="E169" i="8"/>
  <c r="E193" i="8"/>
  <c r="E144" i="8"/>
  <c r="E168" i="8"/>
  <c r="E177" i="8"/>
  <c r="E136" i="8"/>
  <c r="E128" i="8"/>
  <c r="E194" i="8"/>
  <c r="E145" i="8"/>
  <c r="E185" i="8"/>
  <c r="E156" i="8"/>
  <c r="E134" i="8"/>
  <c r="E162" i="8"/>
  <c r="E186" i="8"/>
  <c r="E137" i="8"/>
  <c r="E161" i="8"/>
  <c r="E195" i="8"/>
  <c r="E160" i="8"/>
  <c r="E170" i="8"/>
  <c r="E187" i="8"/>
  <c r="E138" i="8"/>
  <c r="E178" i="8"/>
  <c r="E129" i="8"/>
  <c r="E197" i="8"/>
  <c r="E172" i="8"/>
  <c r="E196" i="8"/>
  <c r="E164" i="8"/>
  <c r="E165" i="8"/>
  <c r="E157" i="8"/>
  <c r="E146" i="8"/>
  <c r="E155" i="8"/>
  <c r="E179" i="8"/>
  <c r="E130" i="8"/>
  <c r="E154" i="8"/>
  <c r="E132" i="8"/>
  <c r="E188" i="8"/>
  <c r="E173" i="8"/>
  <c r="E190" i="8"/>
  <c r="E140" i="8"/>
  <c r="E198" i="8"/>
  <c r="E183" i="8"/>
  <c r="E133" i="8"/>
  <c r="E163" i="8"/>
  <c r="E180" i="8"/>
  <c r="E131" i="8"/>
  <c r="E171" i="8"/>
  <c r="E148" i="8"/>
  <c r="E147" i="8"/>
  <c r="E181" i="8"/>
  <c r="E141" i="8"/>
  <c r="E149" i="8"/>
  <c r="E158" i="8"/>
  <c r="G9" i="1"/>
  <c r="E126" i="8"/>
  <c r="F43" i="1"/>
  <c r="C93" i="8"/>
  <c r="C96" i="8"/>
  <c r="U75" i="8"/>
  <c r="C99" i="8" s="1"/>
  <c r="I11" i="1" s="1"/>
  <c r="G13" i="1" l="1"/>
  <c r="C126" i="8"/>
  <c r="G11" i="1"/>
  <c r="D126"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J7" authorId="0" shapeId="0" xr:uid="{00000000-0006-0000-0200-000001000000}">
      <text>
        <r>
          <rPr>
            <sz val="11"/>
            <color theme="1"/>
            <rFont val="Calibri"/>
            <family val="2"/>
            <charset val="1"/>
          </rPr>
          <t>Equivalent leak hole cross-section. Use IEC 60079-10-1 Table B.1 for typical values by item and grade.</t>
        </r>
      </text>
    </comment>
    <comment ref="K7" authorId="0" shapeId="0" xr:uid="{00000000-0006-0000-0200-000002000000}">
      <text>
        <r>
          <rPr>
            <sz val="11"/>
            <color theme="1"/>
            <rFont val="Calibri"/>
            <family val="2"/>
            <charset val="1"/>
          </rPr>
          <t>0.50–0.75 sharp-edged orifice; 0.95–0.99 rounded. 0.75 is a common default.</t>
        </r>
      </text>
    </comment>
    <comment ref="L7" authorId="0" shapeId="0" xr:uid="{00000000-0006-0000-0200-000003000000}">
      <text>
        <r>
          <rPr>
            <sz val="11"/>
            <color theme="1"/>
            <rFont val="Calibri"/>
            <family val="2"/>
            <charset val="1"/>
          </rPr>
          <t>Compressibility factor; 1.0 for ideal gas at modest pressure.</t>
        </r>
      </text>
    </comment>
    <comment ref="M7" authorId="0" shapeId="0" xr:uid="{00000000-0006-0000-0200-000004000000}">
      <text>
        <r>
          <rPr>
            <sz val="11"/>
            <color theme="1"/>
            <rFont val="Calibri"/>
            <family val="2"/>
            <charset val="1"/>
          </rPr>
          <t>Fraction of a liquid jet that vaporises. Blank = 1 if at/above boiling point, else 0 (model the pool separately).</t>
        </r>
      </text>
    </comment>
    <comment ref="O7" authorId="0" shapeId="0" xr:uid="{00000000-0006-0000-0200-000005000000}">
      <text>
        <r>
          <rPr>
            <sz val="11"/>
            <color theme="1"/>
            <rFont val="Calibri"/>
            <family val="2"/>
            <charset val="1"/>
          </rPr>
          <t>Air velocity over the pool surface. Indoors typically 0.1–0.5 m/s.</t>
        </r>
      </text>
    </comment>
    <comment ref="P7" authorId="0" shapeId="0" xr:uid="{00000000-0006-0000-0200-000006000000}">
      <text>
        <r>
          <rPr>
            <sz val="11"/>
            <color theme="1"/>
            <rFont val="Calibri"/>
            <family val="2"/>
            <charset val="1"/>
          </rPr>
          <t>Leave blank to use Antoine constants (or Trouton estimate) from the Substances sheet.</t>
        </r>
      </text>
    </comment>
    <comment ref="S7" authorId="0" shapeId="0" xr:uid="{00000000-0006-0000-0200-000007000000}">
      <text>
        <r>
          <rPr>
            <sz val="11"/>
            <color theme="1"/>
            <rFont val="Calibri"/>
            <family val="2"/>
            <charset val="1"/>
          </rPr>
          <t>1 = uniform mixing; 1.5 mildly inefficient; up to 5 very inefficient (IEC 60079-10-1).</t>
        </r>
      </text>
    </comment>
    <comment ref="AO7" authorId="0" shapeId="0" xr:uid="{00000000-0006-0000-0200-000008000000}">
      <text>
        <r>
          <rPr>
            <sz val="11"/>
            <color theme="1"/>
            <rFont val="Calibri"/>
            <family val="2"/>
            <charset val="1"/>
          </rPr>
          <t>Indoor: air changes per hour / 3600. Outdoor: fixed 0.03 s⁻¹ (Tables sheet).</t>
        </r>
      </text>
    </comment>
    <comment ref="AQ7" authorId="0" shapeId="0" xr:uid="{00000000-0006-0000-0200-000009000000}">
      <text>
        <r>
          <rPr>
            <sz val="11"/>
            <color theme="1"/>
            <rFont val="Calibri"/>
            <family val="2"/>
            <charset val="1"/>
          </rPr>
          <t>High: Vz &lt; 0.1 m³. Indoor Medium: Vz &lt; V0; Low: Vz ≥ V0. Outdoor: Medium unless Vz &lt; 0.1 m³.</t>
        </r>
      </text>
    </comment>
    <comment ref="AR7" authorId="0" shapeId="0" xr:uid="{00000000-0006-0000-0200-00000A000000}">
      <text>
        <r>
          <rPr>
            <sz val="11"/>
            <color theme="1"/>
            <rFont val="Calibri"/>
            <family val="2"/>
            <charset val="1"/>
          </rPr>
          <t>Time for concentration to fall from X0 to k×LFL after release stops: t = −(f/C)·ln(k·LFL/X0).</t>
        </r>
      </text>
    </comment>
    <comment ref="AT7" authorId="0" shapeId="0" xr:uid="{00000000-0006-0000-0200-00000B000000}">
      <text>
        <r>
          <rPr>
            <sz val="11"/>
            <color theme="1"/>
            <rFont val="Calibri"/>
            <family val="2"/>
            <charset val="1"/>
          </rPr>
          <t>Radius of a hemisphere with volume Vz. Indicative only — Vz is not the zone extent.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5" authorId="0" shapeId="0" xr:uid="{00000000-0006-0000-0300-000001000000}">
      <text>
        <r>
          <rPr>
            <sz val="11"/>
            <color theme="1"/>
            <rFont val="Calibri"/>
            <family val="2"/>
            <charset val="1"/>
          </rPr>
          <t>Good: layers kept negligible → no zone from layers. Fair: layers present but removed before hazardous → Zone 22. Poor: layers persist → Zone 21 (IEC 60079-10-2).</t>
        </r>
      </text>
    </comment>
    <comment ref="Q5" authorId="0" shapeId="0" xr:uid="{00000000-0006-0000-0300-000002000000}">
      <text>
        <r>
          <rPr>
            <sz val="11"/>
            <color theme="1"/>
            <rFont val="Calibri"/>
            <family val="2"/>
            <charset val="1"/>
          </rPr>
          <t>For layers up to 5 mm: MIT(5 mm layer) − 75 K. Thicker layers need the reduction graph in IEC 60079-14 or laboratory testing.</t>
        </r>
      </text>
    </comment>
  </commentList>
</comments>
</file>

<file path=xl/sharedStrings.xml><?xml version="1.0" encoding="utf-8"?>
<sst xmlns="http://schemas.openxmlformats.org/spreadsheetml/2006/main" count="676" uniqueCount="503">
  <si>
    <t>DSEAR Quick Zone</t>
  </si>
  <si>
    <t>Gas and vapour zoning to IEC 60079-10-1</t>
  </si>
  <si>
    <t>Pick a substance and an activity, then enter the amount. Yellow cells are inputs; everything else updates as you type.</t>
  </si>
  <si>
    <t>1. What you’re handling</t>
  </si>
  <si>
    <t>Result</t>
  </si>
  <si>
    <t>Substance</t>
  </si>
  <si>
    <t>Toluene</t>
  </si>
  <si>
    <t>Add more on the Substances sheet</t>
  </si>
  <si>
    <t>Amount</t>
  </si>
  <si>
    <t>Activity</t>
  </si>
  <si>
    <t>Decanting / filling / sampling</t>
  </si>
  <si>
    <t>Sets which sources of release exist</t>
  </si>
  <si>
    <t>Zone</t>
  </si>
  <si>
    <t>Extent from the activity</t>
  </si>
  <si>
    <t>Equipment (EPL)</t>
  </si>
  <si>
    <t>Indoor or outdoor</t>
  </si>
  <si>
    <t>Indoor</t>
  </si>
  <si>
    <t>Zone 0</t>
  </si>
  <si>
    <t>Temperature (°C)</t>
  </si>
  <si>
    <t>Of the liquid or gas</t>
  </si>
  <si>
    <t>Gas pressure (barg)</t>
  </si>
  <si>
    <t>Gases only</t>
  </si>
  <si>
    <t>Zone 1</t>
  </si>
  <si>
    <t>Room volume (m³)</t>
  </si>
  <si>
    <t>Indoors only</t>
  </si>
  <si>
    <t>Air changes per hour</t>
  </si>
  <si>
    <t>1 natural, 3–6 mechanical, 10+ LEV</t>
  </si>
  <si>
    <t>Zone 2</t>
  </si>
  <si>
    <t>Ventilation availability</t>
  </si>
  <si>
    <t>Good</t>
  </si>
  <si>
    <t>Fair or poor if it can fail</t>
  </si>
  <si>
    <t>Air changes if ventilation fails</t>
  </si>
  <si>
    <t>Closed building: about 0.25–1</t>
  </si>
  <si>
    <t>Equipment</t>
  </si>
  <si>
    <t>2. Assumptions</t>
  </si>
  <si>
    <t>Plan view</t>
  </si>
  <si>
    <t>Spill depth (mm)</t>
  </si>
  <si>
    <t>Amount ÷ depth = pool area</t>
  </si>
  <si>
    <t>Bund or drip-tray area (m²)</t>
  </si>
  <si>
    <t>Optional. Caps the spill area</t>
  </si>
  <si>
    <t>Container mouth while filling (m²)</t>
  </si>
  <si>
    <t>0.01 m² is about 110 mm across</t>
  </si>
  <si>
    <t>Open surface: vessel, tin or tray (m²)</t>
  </si>
  <si>
    <t>0.1 m² is about 360 mm across</t>
  </si>
  <si>
    <t>Wet area: rag and wiped surface (m²)</t>
  </si>
  <si>
    <t>Rags activity only</t>
  </si>
  <si>
    <t>Filling or charging rate (L/min)</t>
  </si>
  <si>
    <t>Pushes vapour out of the opening</t>
  </si>
  <si>
    <t>Air speed over liquid, indoors (m/s)</t>
  </si>
  <si>
    <t>Air speed over liquid, outdoors (m/s)</t>
  </si>
  <si>
    <t>Ventilation efficiency f, indoors</t>
  </si>
  <si>
    <t>1 perfect mixing, 5 very poor</t>
  </si>
  <si>
    <t>Ventilation efficiency f, outdoors</t>
  </si>
  <si>
    <t>Gas leak hole area (mm²)</t>
  </si>
  <si>
    <t>Small flange or valve, IEC Table B.1</t>
  </si>
  <si>
    <t>Discharge coefficient Cd</t>
  </si>
  <si>
    <t>Flash point margin (°C)</t>
  </si>
  <si>
    <t>This far below flash point: no zone</t>
  </si>
  <si>
    <t>Safety factor k on LFL</t>
  </si>
  <si>
    <t>Cont. / primary / secondary, on Tables</t>
  </si>
  <si>
    <t>Looking down on the point of activity. Rings are drawn to scale; the spoke shows metres.</t>
  </si>
  <si>
    <t>3. How each zone is sized</t>
  </si>
  <si>
    <t>Grade of release</t>
  </si>
  <si>
    <t>Source of release</t>
  </si>
  <si>
    <t>Release (g/s)</t>
  </si>
  <si>
    <t>Ventilation</t>
  </si>
  <si>
    <t>Vz used (m³)</t>
  </si>
  <si>
    <t>Zone (IEC Table D.1)</t>
  </si>
  <si>
    <t>Continuous</t>
  </si>
  <si>
    <t>Primary</t>
  </si>
  <si>
    <t>Secondary</t>
  </si>
  <si>
    <t>4. Compare activities</t>
  </si>
  <si>
    <t>Highest EPL</t>
  </si>
  <si>
    <t>5. Notes</t>
  </si>
  <si>
    <t>This sheet supports, and does not replace, a competent-person DSEAR assessment. Check substance data against the SDS.</t>
  </si>
  <si>
    <t>See the workings on the Quick Zone Calc sheet</t>
  </si>
  <si>
    <t>Multiple sources or unusual releases: use the Gas-Vapour sheet</t>
  </si>
  <si>
    <t>DSEAR Zoning Calculator</t>
  </si>
  <si>
    <t>A screening tool for hazardous area classification under DSEAR. Gas and vapour zoning follows IEC 60079-10-1: release rate, hypothetical volume Vz, degree and availability of ventilation, then the zone, EPL, gas group and T-class. Dust zoning follows IEC 60079-10-2.</t>
  </si>
  <si>
    <t>Sheets</t>
  </si>
  <si>
    <t>Quick Zone: pick a substance, an activity and an amount, and get the Zone 0, 1 and 2 extents with a plan view.</t>
  </si>
  <si>
    <t>Gas-Vapour: one row per source of release, up to 50 rows. Yellow is input, grey is from the library and green is a result.</t>
  </si>
  <si>
    <t>Dust: one row per dust source, up to 40 rows.</t>
  </si>
  <si>
    <t>Substances and Dusts: material property libraries. Add rows to extend the dropdowns.</t>
  </si>
  <si>
    <t>Tables: constants, k factors, the zone matrix and the T-class table used by every formula.</t>
  </si>
  <si>
    <t>Quick Zone Calc: the workings behind Quick Zone, source by source.</t>
  </si>
  <si>
    <t>Why some activities have three zones</t>
  </si>
  <si>
    <t>Each source of release has one grade. A continuous grade gives Zone 0, a primary grade gives Zone 1 and a secondary grade gives Zone 2. One activity can involve several sources at once, and their zones nest inside each other.</t>
  </si>
  <si>
    <t>Decanting, filling and sampling have all three. The vapour space inside the receiving container is continuous (Zone 0), vapour pushed out of the container mouth while filling is primary (Zone 1), and a spill of the full amount is secondary (Zone 2).</t>
  </si>
  <si>
    <t>An open vessel also has all three: the open liquid surface (Zone 0), charging the vessel (Zone 1), and a spill or overflow (Zone 2).</t>
  </si>
  <si>
    <t>An open tin or tray left open is a continuous source (Zone 0) with a spill as its secondary source (Zone 2). Wiping with solvent rags has the vapour inside the solvent container (Zone 0), evaporation from the wet rag and the wiped surface (Zone 1), and a spill (Zone 2).</t>
  </si>
  <si>
    <t>Closed containers have no release in normal operation, so there is no Zone 1. The inside of the containers is Zone 0 when the liquid is above its flash point, and outside there is only Zone 2 from a leak or spill.</t>
  </si>
  <si>
    <t>A zone also drops out when ventilation dilutes its source to negligible extent, when a liquid is handled more than the flash point margin below its flash point, or when the substance is a gas, because a gas system holds no air.</t>
  </si>
  <si>
    <t>Where ventilation availability is fair or poor, IEC Table D.1 adds an outer zone sized with the failed-ventilation rate. A zone only shows beyond the zone inside it where its own source reaches further; otherwise it is reported as within the inner zone.</t>
  </si>
  <si>
    <t>Zone distances</t>
  </si>
  <si>
    <t>Each distance is the exact radius of a hemisphere of volume Vz, with no rounding and no minimum distance. The safety factor is the IEC k on the LFL: 0.25 for continuous and primary grades and 0.5 for secondary, set on the Tables sheet. Zones with Vz under 0.1 m³ are negligible extent (NE).</t>
  </si>
  <si>
    <t>The amount limits every release. A release cannot make more flammable mixture than the vapour its amount can give, so Vz used is the smaller of the steady Vz and that vapour divided by k × LFL. Enter the amount handled in one go, or the amount per hour if the job repeats back to back.</t>
  </si>
  <si>
    <t>Quick Zone release rates</t>
  </si>
  <si>
    <t>Spill (secondary): pool evaporation over amount ÷ spill depth, capped by any bund area.</t>
  </si>
  <si>
    <t>Filling a container (primary): filling rate × saturated vapour density, plus evaporation from the container mouth.</t>
  </si>
  <si>
    <t>Open liquid surface (continuous): pool evaporation over the vessel’s liquid surface.</t>
  </si>
  <si>
    <t>Charging an open vessel (primary): filling rate × saturated vapour density, plus evaporation from the surface.</t>
  </si>
  <si>
    <t>Wiping with rags (primary): evaporation from the wet area of the rag and the wiped surface.</t>
  </si>
  <si>
    <t>Gases: every source uses the leak through the hole area at the stated pressure.</t>
  </si>
  <si>
    <t>Saturated vapour density = pv × M / (R × T).</t>
  </si>
  <si>
    <t>Gas and vapour method</t>
  </si>
  <si>
    <t>1. Release rate dG/dt (kg/s)</t>
  </si>
  <si>
    <t>Gas, choked (p &gt; pc):  W = Cd·S·p·√[ γ·M/(Z·R·T) · (2/(γ+1))^((γ+1)/(γ−1)) ]</t>
  </si>
  <si>
    <t>Gas, subsonic:  W = Cd·S·p·√[ M/(Z·R·T) · 2γ/(γ−1) · (1 − (pa/p)^((γ−1)/γ)) · (pa/p)^(2/γ) ]</t>
  </si>
  <si>
    <t>Critical pressure:  pc = pa·((γ+1)/2)^(γ/(γ−1))</t>
  </si>
  <si>
    <t>Liquid jet:  WL = Cd·S·√(2ρΔp); vapour rate = WL × vaporised fraction</t>
  </si>
  <si>
    <t>Pool evaporation:  We = 6.55·uw^0.78·Ap·pv·M^0.667 / (R·T), with pv in kPa</t>
  </si>
  <si>
    <t>Vapour pressure: override cell, else Antoine log10(P/mmHg) = A − B/(C+T), else Trouton: pv = 101.325·exp(10.58·(1 − Tb/T))</t>
  </si>
  <si>
    <t>2. Minimum ventilation flow  (dV/dt)min = dG/dt / (k·LELm) × Ta/293, with LELm = 0.416×10⁻³ × M × LEL (vol%). k = 0.25 for continuous and primary grades, 0.5 for secondary.</t>
  </si>
  <si>
    <t>3. Hypothetical volume  Vz = f·(dV/dt)min / C, with C = ACH/3600 indoors and 0.03 s⁻¹ outdoors.</t>
  </si>
  <si>
    <t>4. Degree of ventilation: high if Vz &lt; 0.1 m³. Indoors, medium if Vz &lt; V0 and low if Vz ≥ V0. Outdoors, medium otherwise.</t>
  </si>
  <si>
    <t>5. Persistence time  t = −(f/C)·ln(k·LEL/X0), with X0 = 100 vol%.</t>
  </si>
  <si>
    <t>6. Zone from grade × degree × availability (Tables sheet). EPL Ga, Gb or Gc follows from the zone, and the T-class from the AIT.</t>
  </si>
  <si>
    <t>Dust method</t>
  </si>
  <si>
    <t>Zone from release: continuous gives Zone 20, primary Zone 21 and secondary Zone 22. Zone from layers: poor housekeeping gives Zone 21, fair Zone 22 and good none. The more onerous governs. Maximum surface temperature = min(⅔·MIT cloud, MIT 5 mm layer − 75 K).</t>
  </si>
  <si>
    <t>Substance data</t>
  </si>
  <si>
    <t>Library values are indicative, from standard references. White spirit is a mixture: its vapour pressure uses n-nonane Antoine constants as a surrogate and its boiling point is the start of the range. Check flash point, LFL, AIT and gas group against the SDS or IEC 60079-20-1 before relying on a result.</t>
  </si>
  <si>
    <t>Limitations: read before use</t>
  </si>
  <si>
    <t>• Vz measures ventilation effectiveness, not the zone extent. The radius is indicative only, so set final extents by judgement: jet direction, obstructions, heavier-than-air spread, pits and drains.</t>
  </si>
  <si>
    <t>• The pool equation is not valid for liquids at or above their boiling point. Flashing releases need two-phase treatment.</t>
  </si>
  <si>
    <t>• Hole sizes should follow IEC 60079-10-1 Table B.1 for the item and grade of release.</t>
  </si>
  <si>
    <t>• Quick Zone release bases (filling rate, mouth area, open surface, wet area) are screening assumptions. Change them to match the actual task.</t>
  </si>
  <si>
    <t>• This workbook supports, and does not replace, a competent-person DSEAR assessment.</t>
  </si>
  <si>
    <t>Gas and vapour sources: IEC 60079-10-1 hypothetical volume (Vz) method</t>
  </si>
  <si>
    <t>One row per source of release. Fill the yellow cells; grey cells come from the Substances sheet and green cells are results. Example rows 8 to 11 show the expected format, so overwrite or clear them.</t>
  </si>
  <si>
    <t>Vz is not the zone extent: the radius is an indicative size only. Final zone extents need assessor judgement (release direction, obstructions, heavier-than-air spread). See the Read Me sheet for equations and limitations.</t>
  </si>
  <si>
    <t>Input</t>
  </si>
  <si>
    <t>From library</t>
  </si>
  <si>
    <t>Calculation</t>
  </si>
  <si>
    <t>Inputs: source of release</t>
  </si>
  <si>
    <t>Release rate</t>
  </si>
  <si>
    <t>Ventilation and zone</t>
  </si>
  <si>
    <t>Ref</t>
  </si>
  <si>
    <t>Source of release / location</t>
  </si>
  <si>
    <t>Release type</t>
  </si>
  <si>
    <t>Indoor / Outdoor</t>
  </si>
  <si>
    <t>Pressure (barg)</t>
  </si>
  <si>
    <t>Process / liquid temp (°C)</t>
  </si>
  <si>
    <t>Ambient temp (°C)</t>
  </si>
  <si>
    <t>Hole area S (mm²)</t>
  </si>
  <si>
    <t>Discharge coeff. Cd</t>
  </si>
  <si>
    <t>Compress-ibility Z</t>
  </si>
  <si>
    <t>Vaporised fraction (liquid jet, blank = auto)</t>
  </si>
  <si>
    <t>Pool area (m²)</t>
  </si>
  <si>
    <t>Air velocity over pool (m/s)</t>
  </si>
  <si>
    <t>Vapour pressure override (kPa)</t>
  </si>
  <si>
    <t>Room volume V0 (m³)</t>
  </si>
  <si>
    <t>Ventilation efficiency f (1–5)</t>
  </si>
  <si>
    <t>Availability of ventilation</t>
  </si>
  <si>
    <t>M (kg/kmol)</t>
  </si>
  <si>
    <t>LFL (vol%)</t>
  </si>
  <si>
    <t>γ</t>
  </si>
  <si>
    <t>Liquid density (kg/m³)</t>
  </si>
  <si>
    <t>Boiling point (°C)</t>
  </si>
  <si>
    <t>Flash point (°C)</t>
  </si>
  <si>
    <t>AIT (°C)</t>
  </si>
  <si>
    <t>Gas group</t>
  </si>
  <si>
    <t>Rel. vapour density (air = 1)</t>
  </si>
  <si>
    <t>Pressure p (Pa abs)</t>
  </si>
  <si>
    <t>Process temp T (K)</t>
  </si>
  <si>
    <t>Ambient temp Ta (K)</t>
  </si>
  <si>
    <t>Critical pressure pc (Pa abs)</t>
  </si>
  <si>
    <t>Gas flow regime</t>
  </si>
  <si>
    <t>Vapour pressure pv (kPa)</t>
  </si>
  <si>
    <t>Liquid discharge (kg/s)</t>
  </si>
  <si>
    <t>Vapour release rate dG/dt (kg/s)</t>
  </si>
  <si>
    <t>LELm (kg/m³)</t>
  </si>
  <si>
    <t>k</t>
  </si>
  <si>
    <t>(dV/dt)min (m³/s)</t>
  </si>
  <si>
    <t>Air changes C (s⁻¹)</t>
  </si>
  <si>
    <t>Hypothetical volume Vz (m³)</t>
  </si>
  <si>
    <t>Degree of ventilation</t>
  </si>
  <si>
    <t>Persistence time t (min)</t>
  </si>
  <si>
    <t>ZONE</t>
  </si>
  <si>
    <t>Indicative radius, hemisphere of Vz (m)</t>
  </si>
  <si>
    <t>Required EPL</t>
  </si>
  <si>
    <t>Min. equipment group / T-class</t>
  </si>
  <si>
    <t>Flags / notes</t>
  </si>
  <si>
    <t>G1</t>
  </si>
  <si>
    <t>Propane line flange, LPG compound</t>
  </si>
  <si>
    <t>Propane</t>
  </si>
  <si>
    <t>Gas/vapour jet</t>
  </si>
  <si>
    <t>Outdoor</t>
  </si>
  <si>
    <t>G2</t>
  </si>
  <si>
    <t>Natural gas regulator flange, boiler house</t>
  </si>
  <si>
    <t>Methane</t>
  </si>
  <si>
    <t>Fair</t>
  </si>
  <si>
    <t>L1</t>
  </si>
  <si>
    <t>Toluene drum decanting, spill to bund, solvent store</t>
  </si>
  <si>
    <t>Pool evaporation</t>
  </si>
  <si>
    <t>L2</t>
  </si>
  <si>
    <t>LPG (butane) liquid pump seal, flashing release</t>
  </si>
  <si>
    <t>n-Butane</t>
  </si>
  <si>
    <t>Liquid jet</t>
  </si>
  <si>
    <t>Combustible dust: IEC 60079-10-2, surface temperatures per IEC 60079-14</t>
  </si>
  <si>
    <t>Add dust properties on the Dusts sheet first. Zone extent is an assessor input: 1 m is a common starting point for Zone 21 or 22 around a source, adjusted for the dust and the release.</t>
  </si>
  <si>
    <t>Dust</t>
  </si>
  <si>
    <t>Grade of release (dust cloud)</t>
  </si>
  <si>
    <t>Housekeeping (dust layers)</t>
  </si>
  <si>
    <t>Max layer thickness (mm)</t>
  </si>
  <si>
    <t>Zone extent from source (m)</t>
  </si>
  <si>
    <t>Dust group</t>
  </si>
  <si>
    <t>MIT cloud (°C)</t>
  </si>
  <si>
    <t>MIT 5 mm layer (°C)</t>
  </si>
  <si>
    <t>MIE (mJ)</t>
  </si>
  <si>
    <t>Zone from release</t>
  </si>
  <si>
    <t>Zone from layers</t>
  </si>
  <si>
    <t>Cloud limit ⅔ × MIT (°C)</t>
  </si>
  <si>
    <t>Layer limit (°C)</t>
  </si>
  <si>
    <t>Max equipment surface temp (°C)</t>
  </si>
  <si>
    <t>D1</t>
  </si>
  <si>
    <t>Bag tipping station, mixing room</t>
  </si>
  <si>
    <t>EXAMPLE organic dust</t>
  </si>
  <si>
    <t>Phase</t>
  </si>
  <si>
    <t>Molar mass M (kg/kmol)</t>
  </si>
  <si>
    <t>UFL (vol%)</t>
  </si>
  <si>
    <t>Polytropic index γ</t>
  </si>
  <si>
    <t>Auto-ignition temp (°C)</t>
  </si>
  <si>
    <t>Antoine A</t>
  </si>
  <si>
    <t>Antoine B</t>
  </si>
  <si>
    <t>Antoine C</t>
  </si>
  <si>
    <t>Notes</t>
  </si>
  <si>
    <t>How to use</t>
  </si>
  <si>
    <t>Gas</t>
  </si>
  <si>
    <t>IIA</t>
  </si>
  <si>
    <t>Indicative: check against the SDS or IEC 60079-20-1</t>
  </si>
  <si>
    <t>Add new materials in the empty rows (up to row 60); they appear automatically in the Gas-Vapour and Quick Zone dropdowns. γ is needed for gas jets; liquid density for liquid jets; boiling point for pool/flash checks. Antoine constants are log10(P/mmHg) = A − B/(C + T/°C), from standard tables (Lange's Handbook); if blank, vapour pressure is estimated from the boiling point using Trouton's rule, or enter it directly on the calculator. Where sources disagree, the lower AIT / higher gas group has been used.</t>
  </si>
  <si>
    <t>Hydrogen</t>
  </si>
  <si>
    <t>IIC</t>
  </si>
  <si>
    <t>Ethylene</t>
  </si>
  <si>
    <t>IIB</t>
  </si>
  <si>
    <t>Acetylene</t>
  </si>
  <si>
    <t>Ammonia</t>
  </si>
  <si>
    <t>Hydrogen sulphide</t>
  </si>
  <si>
    <t>Methanol</t>
  </si>
  <si>
    <t>Liquid</t>
  </si>
  <si>
    <t>Ethanol</t>
  </si>
  <si>
    <t>Isopropanol (IPA)</t>
  </si>
  <si>
    <t>Acetone</t>
  </si>
  <si>
    <t>Ethyl acetate</t>
  </si>
  <si>
    <t>Xylene (mixed)</t>
  </si>
  <si>
    <t>n-Hexane</t>
  </si>
  <si>
    <t>n-Heptane</t>
  </si>
  <si>
    <t>Diethyl ether</t>
  </si>
  <si>
    <t>White spirit</t>
  </si>
  <si>
    <t>Mixture (BS 245 regular grade). n-Nonane Antoine as a surrogate. Check the SDS for your grade.</t>
  </si>
  <si>
    <t>Kst (bar·m/s)</t>
  </si>
  <si>
    <t>Use laboratory data (e.g. from the dust's test report or GESTIS-DUST-EX). Group: IIIA combustible flyings, IIIB non-conductive dust, IIIC conductive dust.</t>
  </si>
  <si>
    <t>IIIB</t>
  </si>
  <si>
    <t>Placeholder values: replace with test data for your material</t>
  </si>
  <si>
    <t>Constants and lookup tables</t>
  </si>
  <si>
    <t>Edit with care: every sheet reads from here.</t>
  </si>
  <si>
    <t>Constant</t>
  </si>
  <si>
    <t>Value</t>
  </si>
  <si>
    <t>Basis</t>
  </si>
  <si>
    <t>Atmospheric pressure pa (Pa)</t>
  </si>
  <si>
    <t>IEC 60079-10-1 reference conditions</t>
  </si>
  <si>
    <t>Universal gas constant R (J/kmol·K)</t>
  </si>
  <si>
    <t>Initial concentration X0 for persistence time (vol%)</t>
  </si>
  <si>
    <t>IEC 60079-10-1:2008 Annex B (pure release)</t>
  </si>
  <si>
    <t>Vz threshold for HIGH degree of ventilation (m³)</t>
  </si>
  <si>
    <t>Vz below this is treated as negligible (2008 Annex B)</t>
  </si>
  <si>
    <t>Outdoor air change rate C (s⁻¹)</t>
  </si>
  <si>
    <t>2008 Annex B: outdoor, ~0.5 m/s wind through a notional 15 m cube</t>
  </si>
  <si>
    <t>Reference temperature (K)</t>
  </si>
  <si>
    <t>Used in (dV/dt)min temperature correction</t>
  </si>
  <si>
    <t>LELm conversion factor (kg/m³ per kg/kmol per vol%)</t>
  </si>
  <si>
    <t>LELm = 0.416×10⁻³ × M × LEL(vol%)</t>
  </si>
  <si>
    <t>Outdoor calm-wind factor (fraction of normal C)</t>
  </si>
  <si>
    <t>Quick Zone outer zone sizing outdoors: C2 = 0.03 × factor (assessor assumption)</t>
  </si>
  <si>
    <t>Room height for the Quick Zone plan view (m)</t>
  </si>
  <si>
    <t>Plan view only: a whole-room zone is drawn as a disc the size of the room floor</t>
  </si>
  <si>
    <t>Safety factor k on LEL</t>
  </si>
  <si>
    <t>Grade</t>
  </si>
  <si>
    <t>IEC 60079-10-1:2008: k = 0.25 continuous/primary, 0.5 secondary</t>
  </si>
  <si>
    <t>Zone from grade of release, degree and availability of ventilation (IEC 60079-10-1 Table B.1 / D.1)</t>
  </si>
  <si>
    <t>Grade \ Degree-Availability</t>
  </si>
  <si>
    <t>High-Good</t>
  </si>
  <si>
    <t>High-Fair</t>
  </si>
  <si>
    <t>High-Poor</t>
  </si>
  <si>
    <t>Medium-Good</t>
  </si>
  <si>
    <t>Medium-Fair</t>
  </si>
  <si>
    <t>Medium-Poor</t>
  </si>
  <si>
    <t>Low-Good</t>
  </si>
  <si>
    <t>Low-Fair</t>
  </si>
  <si>
    <t>Low-Poor</t>
  </si>
  <si>
    <t>Non-hazardous (Zone 0 NE)</t>
  </si>
  <si>
    <t>Zone 2 (Zone 0 NE)</t>
  </si>
  <si>
    <t>Zone 1 (Zone 0 NE)</t>
  </si>
  <si>
    <t>Zone 0 + Zone 2</t>
  </si>
  <si>
    <t>Zone 0 + Zone 1</t>
  </si>
  <si>
    <t>Non-hazardous (Zone 1 NE)</t>
  </si>
  <si>
    <t>Zone 2 (Zone 1 NE)</t>
  </si>
  <si>
    <t>Zone 1 + Zone 2</t>
  </si>
  <si>
    <t>Zone 1 or Zone 0</t>
  </si>
  <si>
    <t>Non-hazardous (Zone 2 NE)</t>
  </si>
  <si>
    <t>Zone 1 and even Zone 0</t>
  </si>
  <si>
    <t>Notes: 'NE' = zone of negligible extent. 'Zone 1 or Zone 0' (low dilution, primary) is Zone 0 if ventilation is so weak that the release is effectively continuous. Low-dilution secondary: Zone 1 and possibly Zone 0, by assessor judgement.</t>
  </si>
  <si>
    <t>Temperature class from auto-ignition temperature</t>
  </si>
  <si>
    <t>AIT above (°C)</t>
  </si>
  <si>
    <t>T-class</t>
  </si>
  <si>
    <t>Max surface temp (°C)</t>
  </si>
  <si>
    <t>T6 or lower: check</t>
  </si>
  <si>
    <t>T6</t>
  </si>
  <si>
    <t>T5</t>
  </si>
  <si>
    <t>T4</t>
  </si>
  <si>
    <t>T3</t>
  </si>
  <si>
    <t>T2</t>
  </si>
  <si>
    <t>T1</t>
  </si>
  <si>
    <t>Equipment T-class maximum surface temperature must be below the AIT (IEC 60079-14).</t>
  </si>
  <si>
    <t>Quick Zone activities and their sources of release</t>
  </si>
  <si>
    <t>Continuous source (Zone 0)</t>
  </si>
  <si>
    <t>Primary source (Zone 1)</t>
  </si>
  <si>
    <t>Secondary source (Zone 2)</t>
  </si>
  <si>
    <t>Closed containers / sealed system</t>
  </si>
  <si>
    <t>Vapour space inside the containers</t>
  </si>
  <si>
    <t>None: no release in normal operation</t>
  </si>
  <si>
    <t>Leak or spill of the full amount</t>
  </si>
  <si>
    <t>Vapour space inside the receiving container</t>
  </si>
  <si>
    <t>Vapour pushed out of the container mouth while filling</t>
  </si>
  <si>
    <t>Spill of the full amount</t>
  </si>
  <si>
    <t>Open vessel / continuous emission</t>
  </si>
  <si>
    <t>Evaporation from the open liquid surface</t>
  </si>
  <si>
    <t>Vapour pushed out while charging the vessel</t>
  </si>
  <si>
    <t>Spill or overflow of the full amount</t>
  </si>
  <si>
    <t>Open tin or tray</t>
  </si>
  <si>
    <t>None: no other release in normal operation</t>
  </si>
  <si>
    <t>Wiping with solvent rags</t>
  </si>
  <si>
    <t>Vapour space inside the solvent container</t>
  </si>
  <si>
    <t>Evaporation from the wet rag and the wiped surface</t>
  </si>
  <si>
    <t>Gases use the leak through the hole area for every source. There is no Zone 0 inside a gas system because it holds no air. Liquids handled below their flash point have no Zone 0 inside.</t>
  </si>
  <si>
    <t>Quick Zone Calc</t>
  </si>
  <si>
    <t>The workings behind the Quick Zone sheet, source by source. Nothing here is an input: change values on Quick Zone or Tables.</t>
  </si>
  <si>
    <t>1. Substance and conditions</t>
  </si>
  <si>
    <t>From the Substances sheet</t>
  </si>
  <si>
    <t>Gas?</t>
  </si>
  <si>
    <t>Molar mass M</t>
  </si>
  <si>
    <t>kg/kmol</t>
  </si>
  <si>
    <t>LFL</t>
  </si>
  <si>
    <t>vol%</t>
  </si>
  <si>
    <t>Liquid density</t>
  </si>
  <si>
    <t>kg/m³</t>
  </si>
  <si>
    <t>Boiling point</t>
  </si>
  <si>
    <t>°C</t>
  </si>
  <si>
    <t>Flash point</t>
  </si>
  <si>
    <t>Auto-ignition temperature</t>
  </si>
  <si>
    <t>log10(P/mmHg) = A − B/(C + T)</t>
  </si>
  <si>
    <t>Temperature T</t>
  </si>
  <si>
    <t>K</t>
  </si>
  <si>
    <t>Vapour pressure pv</t>
  </si>
  <si>
    <t>kPa. Antoine, else Trouton from the boiling point</t>
  </si>
  <si>
    <t>Saturated vapour concentration</t>
  </si>
  <si>
    <t>vol%. Above the LFL means flammable headspace</t>
  </si>
  <si>
    <t>Saturated vapour density</t>
  </si>
  <si>
    <t>kg/m³ of vapour in the headspace</t>
  </si>
  <si>
    <t>LELm</t>
  </si>
  <si>
    <t>Relative vapour density</t>
  </si>
  <si>
    <t>Air = 1</t>
  </si>
  <si>
    <t>Heavier than air?</t>
  </si>
  <si>
    <t>Above 1.2</t>
  </si>
  <si>
    <t>Outdoors?</t>
  </si>
  <si>
    <t>Ventilation efficiency f</t>
  </si>
  <si>
    <t>Air changes C, normal</t>
  </si>
  <si>
    <t>s⁻¹</t>
  </si>
  <si>
    <t>Air changes C, ventilation failed</t>
  </si>
  <si>
    <t>s⁻¹. Outdoors: calm-wind factor on Tables</t>
  </si>
  <si>
    <t>Air speed over the liquid</t>
  </si>
  <si>
    <t>m/s</t>
  </si>
  <si>
    <t>Below flash point minus margin?</t>
  </si>
  <si>
    <t>If TRUE, no zone is normally needed</t>
  </si>
  <si>
    <t>At or above boiling point?</t>
  </si>
  <si>
    <t>Zone 0 inside containers?</t>
  </si>
  <si>
    <t>Liquid at or above its flash point less the margin</t>
  </si>
  <si>
    <t>Temperature class</t>
  </si>
  <si>
    <t>From the AIT</t>
  </si>
  <si>
    <t>Room-equivalent radius</t>
  </si>
  <si>
    <t>m. Plan view of a whole-room zone</t>
  </si>
  <si>
    <t>2. Release rates and the vapour each amount can give</t>
  </si>
  <si>
    <t>Gas pressure p</t>
  </si>
  <si>
    <t>Pa abs</t>
  </si>
  <si>
    <t>Critical pressure pc</t>
  </si>
  <si>
    <t>Gas leak through the hole</t>
  </si>
  <si>
    <t>kg/s. Choked if p &gt; pc, else subsonic</t>
  </si>
  <si>
    <t>Evaporation per m² of liquid surface</t>
  </si>
  <si>
    <t>kg/s per m². We = 6.55·u^0.78·A·pv·M^0.667/(R·T)</t>
  </si>
  <si>
    <t>Spill pool area</t>
  </si>
  <si>
    <t>m². Amount ÷ spill depth, capped by any bund</t>
  </si>
  <si>
    <t>Vapour pushed out by filling</t>
  </si>
  <si>
    <t>kg/s. Filling rate × saturated vapour density</t>
  </si>
  <si>
    <t>Release: spill or leak</t>
  </si>
  <si>
    <t>kg/s</t>
  </si>
  <si>
    <t>Release: filling a container</t>
  </si>
  <si>
    <t>kg/s. Displacement + evaporation at the mouth</t>
  </si>
  <si>
    <t>Release: open liquid surface</t>
  </si>
  <si>
    <t>Release: charging an open vessel</t>
  </si>
  <si>
    <t>kg/s. Displacement + evaporation at the surface</t>
  </si>
  <si>
    <t>Release: wet rag and wiped surface</t>
  </si>
  <si>
    <t>Vapour the whole amount can give</t>
  </si>
  <si>
    <t>kg. All of the amount evaporates or leaks</t>
  </si>
  <si>
    <t>Vapour from filling the amount</t>
  </si>
  <si>
    <t>kg. Displaced vapour + mouth evaporation while filling</t>
  </si>
  <si>
    <t>Vapour from charging the vessel</t>
  </si>
  <si>
    <t>kg. Displaced vapour + surface evaporation while charging</t>
  </si>
  <si>
    <t>Time to evaporate the spill or empty the system</t>
  </si>
  <si>
    <t>min</t>
  </si>
  <si>
    <t>3. Sources of release, by activity</t>
  </si>
  <si>
    <t>Applies</t>
  </si>
  <si>
    <t>Sized by Vz</t>
  </si>
  <si>
    <t>Release dG/dt (kg/s)</t>
  </si>
  <si>
    <t>Most vapour the amount can give (kg)</t>
  </si>
  <si>
    <t>Vz, steady (m³)</t>
  </si>
  <si>
    <t>Vz limit from the amount (m³)</t>
  </si>
  <si>
    <t>Limited by the amount?</t>
  </si>
  <si>
    <t>IEC Table D.1 result</t>
  </si>
  <si>
    <t>Inner zone</t>
  </si>
  <si>
    <t>Inner zone NE?</t>
  </si>
  <si>
    <t>Inner radius (m)</t>
  </si>
  <si>
    <t>Outer zone</t>
  </si>
  <si>
    <t>Vz, ventilation failed, steady (m³)</t>
  </si>
  <si>
    <t>Vz, ventilation failed, used (m³)</t>
  </si>
  <si>
    <t>Outer limited by amount?</t>
  </si>
  <si>
    <t>Outer radius (m)</t>
  </si>
  <si>
    <t>Persistence (min)</t>
  </si>
  <si>
    <t>Low dilution?</t>
  </si>
  <si>
    <t>To Zone 0 (m)</t>
  </si>
  <si>
    <t>To Zone 1 (m)</t>
  </si>
  <si>
    <t>To Zone 2 (m)</t>
  </si>
  <si>
    <t>NE Zone 0 (m)</t>
  </si>
  <si>
    <t>NE Zone 1 (m)</t>
  </si>
  <si>
    <t>NE Zone 2 (m)</t>
  </si>
  <si>
    <t>Radii are exact: the radius of a hemisphere of volume Vz, with no rounding and no minimum. Vz used is the smaller of the steady Vz and the most the amount can make at k × LFL. 9999 = whole room. "To Zone" columns carry the radius each source adds to that zone; NE columns carry zones of negligible extent (Vz under 0.1 m³).</t>
  </si>
  <si>
    <t>4. Zoning regime, by activity</t>
  </si>
  <si>
    <t>Zone 0 inside?</t>
  </si>
  <si>
    <t>Zone 0 from sources (m)</t>
  </si>
  <si>
    <t>Zone 1 from sources (m)</t>
  </si>
  <si>
    <t>Zone 2 from sources (m)</t>
  </si>
  <si>
    <t>Zone 0 NE (m)</t>
  </si>
  <si>
    <t>Zone 1 NE (m)</t>
  </si>
  <si>
    <t>Zone 2 NE (m)</t>
  </si>
  <si>
    <t>Zone 0 (m)</t>
  </si>
  <si>
    <t>Zone 1 (m)</t>
  </si>
  <si>
    <t>Zone 2 (m)</t>
  </si>
  <si>
    <t>Zone 0 extent</t>
  </si>
  <si>
    <t>Zone 1 extent</t>
  </si>
  <si>
    <t>Zone 2 extent</t>
  </si>
  <si>
    <t>Zone 0 present</t>
  </si>
  <si>
    <t>Zone 1 present</t>
  </si>
  <si>
    <t>Zone 2 present</t>
  </si>
  <si>
    <t>Headline</t>
  </si>
  <si>
    <t>EPL Zone 0</t>
  </si>
  <si>
    <t>EPL Zone 1</t>
  </si>
  <si>
    <t>EPL Zone 2</t>
  </si>
  <si>
    <t>Largest finite radius (m)</t>
  </si>
  <si>
    <t>Whole-room plot radius (m)</t>
  </si>
  <si>
    <t>Plot Zone 0 (m)</t>
  </si>
  <si>
    <t>Plot Zone 1 (m)</t>
  </si>
  <si>
    <t>Plot Zone 2 (m)</t>
  </si>
  <si>
    <t>Most onerous EPL</t>
  </si>
  <si>
    <t>5. Selected activity (feeds the Quick Zone sheet)</t>
  </si>
  <si>
    <t>Activity number</t>
  </si>
  <si>
    <t>1 closed, 2 decanting, 3 open vessel, 4 open tin, 5 rags</t>
  </si>
  <si>
    <t>Zone 0 extent (m)</t>
  </si>
  <si>
    <t>-1 none, -2 in a whole-room zone, -3 inside the inner zone, 9999 whole room</t>
  </si>
  <si>
    <t>Zone 1 extent (m)</t>
  </si>
  <si>
    <t>Zone 2 extent (m)</t>
  </si>
  <si>
    <t>Zone 0 negligible (m)</t>
  </si>
  <si>
    <t>Zone 1 negligible (m)</t>
  </si>
  <si>
    <t>Zone 2 negligible (m)</t>
  </si>
  <si>
    <t>Zone 0 present?</t>
  </si>
  <si>
    <t>Zone 1 present?</t>
  </si>
  <si>
    <t>Zone 2 present?</t>
  </si>
  <si>
    <t>EPL in Zone 0</t>
  </si>
  <si>
    <t>EPL in Zone 1</t>
  </si>
  <si>
    <t>EPL in Zone 2</t>
  </si>
  <si>
    <t>Plot radius, Zone 0 (m)</t>
  </si>
  <si>
    <t>Plot radius, Zone 1 (m)</t>
  </si>
  <si>
    <t>Plot radius, Zone 2 (m)</t>
  </si>
  <si>
    <t>Zone 0: source that sets it (1-3)</t>
  </si>
  <si>
    <t>1 continuous, 2 primary, 3 secondary</t>
  </si>
  <si>
    <t>Zone 0: that source sized by Vz?</t>
  </si>
  <si>
    <t>Zone 0: set by failed ventilation?</t>
  </si>
  <si>
    <t>Zone 0: limited by the amount?</t>
  </si>
  <si>
    <t>Zone 0 basis</t>
  </si>
  <si>
    <t>Zone 1: source that sets it (1-3)</t>
  </si>
  <si>
    <t>Zone 1: that source sized by Vz?</t>
  </si>
  <si>
    <t>Zone 1: set by failed ventilation?</t>
  </si>
  <si>
    <t>Zone 1: limited by the amount?</t>
  </si>
  <si>
    <t>Zone 1 basis</t>
  </si>
  <si>
    <t>Zone 2: source that sets it (1-3)</t>
  </si>
  <si>
    <t>Zone 2: that source sized by Vz?</t>
  </si>
  <si>
    <t>Zone 2: set by failed ventilation?</t>
  </si>
  <si>
    <t>Zone 2: limited by the amount?</t>
  </si>
  <si>
    <t>Zone 2 basis</t>
  </si>
  <si>
    <t>Summary line</t>
  </si>
  <si>
    <t>Equipment line</t>
  </si>
  <si>
    <t>6. Plan view chart data</t>
  </si>
  <si>
    <t>Bearing (°)</t>
  </si>
  <si>
    <t>Point of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</si>
</sst>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6" formatCode="0.0"/>
    <numFmt numFmtId="167" formatCode="0.000"/>
    <numFmt numFmtId="169" formatCode="0.0000"/>
    <numFmt numFmtId="170" formatCode="0.00000"/>
    <numFmt numFmtId="171" formatCode="0.0#"/>
    <numFmt numFmtId="172" formatCode="0.000E+00"/>
  </numFmts>
  <fonts count="38" x14ac:knownFonts="1">
    <font>
      <sz val="11"/>
      <color theme="1"/>
      <name val="Calibri"/>
      <family val="2"/>
      <charset val="1"/>
    </font>
    <font>
      <sz val="10"/>
      <color rgb="FF1B2333"/>
      <name val="Aptos"/>
    </font>
    <font>
      <sz val="10"/>
      <color rgb="FF0000FF"/>
      <name val="Aptos"/>
    </font>
    <font>
      <sz val="10"/>
      <color rgb="FF5B6577"/>
      <name val="Aptos"/>
    </font>
    <font>
      <b/>
      <sz val="10"/>
      <color rgb="FF1B2333"/>
      <name val="Aptos"/>
    </font>
    <font>
      <b/>
      <sz val="20"/>
      <color rgb="FFFFFFFF"/>
      <name val="Aptos Display"/>
    </font>
    <font>
      <sz val="10"/>
      <color rgb="FFFFFFFF"/>
      <name val="Aptos"/>
    </font>
    <font>
      <b/>
      <sz val="12"/>
      <color rgb="FF1F3864"/>
      <name val="Aptos"/>
    </font>
    <font>
      <sz val="10.5"/>
      <color rgb="FF0000FF"/>
      <name val="Aptos"/>
    </font>
    <font>
      <sz val="9"/>
      <color rgb="FF5B6577"/>
      <name val="Aptos"/>
    </font>
    <font>
      <sz val="10.5"/>
      <color rgb="FF1B2333"/>
      <name val="Aptos"/>
    </font>
    <font>
      <b/>
      <sz val="18"/>
      <color rgb="FF1F3864"/>
      <name val="Aptos Display"/>
    </font>
    <font>
      <sz val="10"/>
      <color rgb="FF1B2333"/>
      <name val="Aptos Narrow"/>
    </font>
    <font>
      <b/>
      <sz val="9"/>
      <color rgb="FF1F3864"/>
      <name val="Aptos"/>
    </font>
    <font>
      <sz val="9"/>
      <color rgb="FF5B6577"/>
      <name val="Aptos Narrow"/>
    </font>
    <font>
      <b/>
      <sz val="16"/>
      <color rgb="FF1F3864"/>
      <name val="Aptos Display"/>
    </font>
    <font>
      <sz val="9.5"/>
      <color rgb="FF5B6577"/>
      <name val="Aptos"/>
    </font>
    <font>
      <b/>
      <sz val="9"/>
      <color rgb="FF5B6577"/>
      <name val="Aptos"/>
    </font>
    <font>
      <b/>
      <sz val="11"/>
      <color rgb="FF1B2333"/>
      <name val="Aptos"/>
    </font>
    <font>
      <b/>
      <sz val="13"/>
      <color rgb="FF1B2333"/>
      <name val="Aptos"/>
    </font>
    <font>
      <b/>
      <sz val="12"/>
      <color rgb="FF1B2333"/>
      <name val="Aptos"/>
    </font>
    <font>
      <u/>
      <sz val="9"/>
      <color rgb="FF1F3864"/>
      <name val="Aptos"/>
    </font>
    <font>
      <sz val="11"/>
      <color theme="1"/>
      <name val="Aptos"/>
    </font>
    <font>
      <b/>
      <sz val="10"/>
      <name val="Aptos"/>
    </font>
    <font>
      <sz val="10"/>
      <color rgb="FF0000FF"/>
      <name val="Aptos"/>
    </font>
    <font>
      <sz val="10"/>
      <name val="Aptos"/>
    </font>
    <font>
      <sz val="10"/>
      <color rgb="FFC00000"/>
      <name val="Aptos"/>
    </font>
    <font>
      <b/>
      <sz val="9"/>
      <color rgb="FF1B2333"/>
      <name val="Aptos"/>
    </font>
    <font>
      <b/>
      <sz val="10"/>
      <color rgb="FF1F3864"/>
      <name val="Aptos"/>
    </font>
    <font>
      <sz val="10"/>
      <color rgb="FF0000FF"/>
      <name val="Aptos Narrow"/>
    </font>
    <font>
      <sz val="10"/>
      <name val="Aptos Narrow"/>
    </font>
    <font>
      <b/>
      <sz val="10"/>
      <name val="Aptos Narrow"/>
    </font>
    <font>
      <i/>
      <sz val="10"/>
      <color rgb="FF595959"/>
      <name val="Aptos"/>
    </font>
    <font>
      <sz val="10"/>
      <color rgb="FF595959"/>
      <name val="Aptos"/>
    </font>
    <font>
      <sz val="10"/>
      <color rgb="FFC00000"/>
      <name val="Aptos"/>
    </font>
    <font>
      <b/>
      <sz val="11"/>
      <color rgb="FF1F3864"/>
      <name val="Aptos"/>
    </font>
    <font>
      <b/>
      <sz val="20"/>
      <color rgb="FF1F3864"/>
      <name val="Aptos Display"/>
    </font>
    <font>
      <b/>
      <sz val="13"/>
      <color rgb="FF1F3864"/>
      <name val="Aptos"/>
    </font>
  </fonts>
  <fills count="16">
    <fill>
      <patternFill patternType="none"/>
    </fill>
    <fill>
      <patternFill patternType="gray125"/>
    </fill>
    <fill>
      <patternFill patternType="solid">
        <fgColor rgb="FFFFF2CC"/>
        <bgColor rgb="FFEDEDED"/>
      </patternFill>
    </fill>
    <fill>
      <patternFill patternType="solid">
        <fgColor rgb="FFE2EFDA"/>
        <bgColor rgb="FFEDEDED"/>
      </patternFill>
    </fill>
    <fill>
      <patternFill patternType="solid">
        <fgColor rgb="FFEDEDED"/>
        <bgColor rgb="FFE2EFDA"/>
      </patternFill>
    </fill>
    <fill>
      <patternFill patternType="solid">
        <fgColor rgb="FFFFFFFF"/>
        <bgColor rgb="FFEDEDED"/>
      </patternFill>
    </fill>
    <fill>
      <patternFill patternType="solid">
        <fgColor rgb="FFD9E1F2"/>
        <bgColor rgb="FFE2EFDA"/>
      </patternFill>
    </fill>
    <fill>
      <patternFill patternType="solid">
        <fgColor rgb="FFFFF2CC"/>
      </patternFill>
    </fill>
    <fill>
      <patternFill patternType="solid">
        <fgColor rgb="FFF3F5F9"/>
      </patternFill>
    </fill>
    <fill>
      <patternFill patternType="solid">
        <fgColor rgb="FF1F3864"/>
      </patternFill>
    </fill>
    <fill>
      <patternFill patternType="solid">
        <fgColor rgb="FFFFFFFF"/>
      </patternFill>
    </fill>
    <fill>
      <patternFill patternType="solid">
        <fgColor rgb="FFEDEDED"/>
      </patternFill>
    </fill>
    <fill>
      <patternFill patternType="solid">
        <fgColor rgb="FFE9EEF5"/>
      </patternFill>
    </fill>
    <fill>
      <patternFill patternType="solid">
        <fgColor rgb="FFFF7C80"/>
      </patternFill>
    </fill>
    <fill>
      <patternFill patternType="solid">
        <fgColor rgb="FFF4B183"/>
      </patternFill>
    </fill>
    <fill>
      <patternFill patternType="solid">
        <fgColor rgb="FFFFE699"/>
      </patternFill>
    </fill>
  </fills>
  <borders count="25">
    <border>
      <left/>
      <right/>
      <top/>
      <bottom/>
      <diagonal/>
    </border>
    <border>
      <left style="thin">
        <color rgb="FFBFBFBF"/>
      </left>
      <right style="thin">
        <color rgb="FFBFBFBF"/>
      </right>
      <top style="thin">
        <color rgb="FFBFBFBF"/>
      </top>
      <bottom style="thin">
        <color rgb="FFBFBFBF"/>
      </bottom>
      <diagonal/>
    </border>
    <border>
      <left style="thin">
        <color rgb="FFDCE2EB"/>
      </left>
      <right/>
      <top/>
      <bottom/>
      <diagonal/>
    </border>
    <border>
      <left/>
      <right/>
      <top/>
      <bottom/>
      <diagonal/>
    </border>
    <border>
      <left/>
      <right style="thin">
        <color rgb="FFDCE2EB"/>
      </right>
      <top/>
      <bottom/>
      <diagonal/>
    </border>
    <border>
      <left style="thin">
        <color rgb="FFDCE2EB"/>
      </left>
      <right/>
      <top/>
      <bottom style="thin">
        <color rgb="FFDCE2EB"/>
      </bottom>
      <diagonal/>
    </border>
    <border>
      <left/>
      <right/>
      <top/>
      <bottom style="thin">
        <color rgb="FFDCE2EB"/>
      </bottom>
      <diagonal/>
    </border>
    <border>
      <left/>
      <right style="thin">
        <color rgb="FFDCE2EB"/>
      </right>
      <top/>
      <bottom style="thin">
        <color rgb="FFDCE2EB"/>
      </bottom>
      <diagonal/>
    </border>
    <border>
      <left style="thin">
        <color rgb="FFDCE2EB"/>
      </left>
      <right/>
      <top style="thin">
        <color rgb="FFDCE2EB"/>
      </top>
      <bottom style="medium">
        <color rgb="FF1F3864"/>
      </bottom>
      <diagonal/>
    </border>
    <border>
      <left/>
      <right/>
      <top style="thin">
        <color rgb="FFDCE2EB"/>
      </top>
      <bottom style="medium">
        <color rgb="FF1F3864"/>
      </bottom>
      <diagonal/>
    </border>
    <border>
      <left/>
      <right style="thin">
        <color rgb="FFDCE2EB"/>
      </right>
      <top style="thin">
        <color rgb="FFDCE2EB"/>
      </top>
      <bottom style="medium">
        <color rgb="FF1F3864"/>
      </bottom>
      <diagonal/>
    </border>
    <border>
      <left/>
      <right/>
      <top/>
      <bottom style="thin">
        <color rgb="FF1F3864"/>
      </bottom>
      <diagonal/>
    </border>
    <border>
      <left/>
      <right/>
      <top/>
      <bottom style="thin">
        <color rgb="FF5B6577"/>
      </bottom>
      <diagonal/>
    </border>
    <border>
      <left style="thin">
        <color rgb="FFDCE2EB"/>
      </left>
      <right style="thin">
        <color rgb="FFDCE2EB"/>
      </right>
      <top/>
      <bottom/>
      <diagonal/>
    </border>
    <border>
      <left/>
      <right style="thin">
        <color rgb="FFDCE2EB"/>
      </right>
      <top/>
      <bottom/>
      <diagonal/>
    </border>
    <border>
      <left/>
      <right/>
      <top/>
      <bottom style="thin">
        <color rgb="FFDCE2EB"/>
      </bottom>
      <diagonal/>
    </border>
    <border>
      <left/>
      <right style="thin">
        <color rgb="FFDCE2EB"/>
      </right>
      <top/>
      <bottom style="thin">
        <color rgb="FFDCE2EB"/>
      </bottom>
      <diagonal/>
    </border>
    <border>
      <left style="thin">
        <color rgb="FFDCE2EB"/>
      </left>
      <right style="thin">
        <color rgb="FFDCE2EB"/>
      </right>
      <top/>
      <bottom style="thin">
        <color rgb="FFDCE2EB"/>
      </bottom>
      <diagonal/>
    </border>
    <border>
      <left style="thin">
        <color rgb="FFDCE2EB"/>
      </left>
      <right/>
      <top/>
      <bottom style="thin">
        <color rgb="FF1F3864"/>
      </bottom>
      <diagonal/>
    </border>
    <border>
      <left/>
      <right style="thin">
        <color rgb="FFDCE2EB"/>
      </right>
      <top/>
      <bottom style="thin">
        <color rgb="FF1F3864"/>
      </bottom>
      <diagonal/>
    </border>
    <border>
      <left style="thin">
        <color rgb="FFDCE2EB"/>
      </left>
      <right/>
      <top/>
      <bottom style="medium">
        <color rgb="FF1F3864"/>
      </bottom>
      <diagonal/>
    </border>
    <border>
      <left/>
      <right/>
      <top/>
      <bottom style="medium">
        <color rgb="FF1F3864"/>
      </bottom>
      <diagonal/>
    </border>
    <border>
      <left/>
      <right style="thin">
        <color rgb="FFDCE2EB"/>
      </right>
      <top/>
      <bottom style="medium">
        <color rgb="FF1F3864"/>
      </bottom>
      <diagonal/>
    </border>
    <border>
      <left style="thin">
        <color rgb="FFBFBFBF"/>
      </left>
      <right style="thin">
        <color rgb="FFBFBFBF"/>
      </right>
      <top style="thin">
        <color rgb="FFBFBFBF"/>
      </top>
      <bottom style="thin">
        <color rgb="FF1F3864"/>
      </bottom>
      <diagonal/>
    </border>
    <border>
      <left style="thin">
        <color rgb="FFDCE2EB"/>
      </left>
      <right style="thin">
        <color rgb="FFDCE2EB"/>
      </right>
      <top style="thin">
        <color rgb="FFDCE2EB"/>
      </top>
      <bottom style="thin">
        <color rgb="FFDCE2EB"/>
      </bottom>
      <diagonal/>
    </border>
  </borders>
  <cellStyleXfs count="1">
    <xf numFmtId="0" fontId="0" fillId="0" borderId="0"/>
  </cellStyleXfs>
  <cellXfs count="172">
    <xf numFmtId="0" fontId="0" fillId="0" borderId="0" xfId="0"/>
    <xf numFmtId="0" fontId="1" fillId="8" borderId="0" xfId="0" applyFont="1" applyFill="1"/>
    <xf numFmtId="0" fontId="5" fillId="9" borderId="0" xfId="0" applyFont="1" applyFill="1" applyAlignment="1">
      <alignment horizontal="left" vertical="center" indent="1"/>
    </xf>
    <xf numFmtId="0" fontId="1" fillId="9" borderId="0" xfId="0" applyFont="1" applyFill="1"/>
    <xf numFmtId="0" fontId="7" fillId="10" borderId="8" xfId="0" applyFont="1" applyFill="1" applyBorder="1" applyAlignment="1">
      <alignment horizontal="left" vertical="center" indent="1"/>
    </xf>
    <xf numFmtId="0" fontId="1" fillId="10" borderId="9" xfId="0" applyFont="1" applyFill="1" applyBorder="1"/>
    <xf numFmtId="0" fontId="1" fillId="10" borderId="10" xfId="0" applyFont="1" applyFill="1" applyBorder="1"/>
    <xf numFmtId="0" fontId="1" fillId="10" borderId="2" xfId="0" applyFont="1" applyFill="1" applyBorder="1" applyAlignment="1">
      <alignment horizontal="left" vertical="center" indent="1"/>
    </xf>
    <xf numFmtId="49" fontId="8" fillId="7" borderId="3" xfId="0" applyNumberFormat="1" applyFont="1" applyFill="1" applyBorder="1" applyAlignment="1">
      <alignment horizontal="left" vertical="center" indent="1"/>
    </xf>
    <xf numFmtId="0" fontId="9" fillId="10" borderId="4" xfId="0" applyFont="1" applyFill="1" applyBorder="1" applyAlignment="1">
      <alignment horizontal="left" vertical="center" indent="1"/>
    </xf>
    <xf numFmtId="0" fontId="8" fillId="7" borderId="3" xfId="0" applyFont="1" applyFill="1" applyBorder="1" applyAlignment="1">
      <alignment horizontal="left" vertical="center" indent="1"/>
    </xf>
    <xf numFmtId="0" fontId="17" fillId="10" borderId="5" xfId="0" applyFont="1" applyFill="1" applyBorder="1" applyAlignment="1">
      <alignment horizontal="left" vertical="center" indent="1"/>
    </xf>
    <xf numFmtId="166" fontId="8" fillId="7" borderId="3" xfId="0" applyNumberFormat="1" applyFont="1" applyFill="1" applyBorder="1" applyAlignment="1">
      <alignment horizontal="left" vertical="center" indent="1"/>
    </xf>
    <xf numFmtId="3" fontId="8" fillId="7" borderId="3" xfId="0" applyNumberFormat="1" applyFont="1" applyFill="1" applyBorder="1" applyAlignment="1">
      <alignment horizontal="left" vertical="center" indent="1"/>
    </xf>
    <xf numFmtId="171" fontId="8" fillId="7" borderId="3" xfId="0" applyNumberFormat="1" applyFont="1" applyFill="1" applyBorder="1" applyAlignment="1">
      <alignment horizontal="left" vertical="center" indent="1"/>
    </xf>
    <xf numFmtId="0" fontId="1" fillId="10" borderId="5" xfId="0" applyFont="1" applyFill="1" applyBorder="1" applyAlignment="1">
      <alignment horizontal="left" vertical="center" indent="1"/>
    </xf>
    <xf numFmtId="171" fontId="8" fillId="7" borderId="6" xfId="0" applyNumberFormat="1" applyFont="1" applyFill="1" applyBorder="1" applyAlignment="1">
      <alignment horizontal="left" vertical="center" indent="1"/>
    </xf>
    <xf numFmtId="0" fontId="9" fillId="10" borderId="7" xfId="0" applyFont="1" applyFill="1" applyBorder="1" applyAlignment="1">
      <alignment horizontal="left" vertical="center" indent="1"/>
    </xf>
    <xf numFmtId="0" fontId="1" fillId="10" borderId="2" xfId="0" applyFont="1" applyFill="1" applyBorder="1"/>
    <xf numFmtId="0" fontId="1" fillId="10" borderId="3" xfId="0" applyFont="1" applyFill="1" applyBorder="1"/>
    <xf numFmtId="0" fontId="1" fillId="10" borderId="4" xfId="0" applyFont="1" applyFill="1" applyBorder="1"/>
    <xf numFmtId="2" fontId="8" fillId="7" borderId="3" xfId="0" applyNumberFormat="1" applyFont="1" applyFill="1" applyBorder="1" applyAlignment="1">
      <alignment horizontal="left" vertical="center" indent="1"/>
    </xf>
    <xf numFmtId="167" fontId="8" fillId="7" borderId="3" xfId="0" applyNumberFormat="1" applyFont="1" applyFill="1" applyBorder="1" applyAlignment="1">
      <alignment horizontal="left" vertical="center" indent="1"/>
    </xf>
    <xf numFmtId="1" fontId="8" fillId="7" borderId="3" xfId="0" applyNumberFormat="1" applyFont="1" applyFill="1" applyBorder="1" applyAlignment="1">
      <alignment horizontal="left" vertical="center" indent="1"/>
    </xf>
    <xf numFmtId="0" fontId="10" fillId="11" borderId="6" xfId="0" applyFont="1" applyFill="1" applyBorder="1" applyAlignment="1">
      <alignment horizontal="left" vertical="center" indent="1"/>
    </xf>
    <xf numFmtId="0" fontId="13" fillId="12" borderId="18" xfId="0" applyFont="1" applyFill="1" applyBorder="1" applyAlignment="1">
      <alignment horizontal="left" vertical="center" indent="1"/>
    </xf>
    <xf numFmtId="0" fontId="13" fillId="12" borderId="11" xfId="0" applyFont="1" applyFill="1" applyBorder="1" applyAlignment="1">
      <alignment horizontal="left" vertical="center" indent="1"/>
    </xf>
    <xf numFmtId="0" fontId="1" fillId="12" borderId="11" xfId="0" applyFont="1" applyFill="1" applyBorder="1"/>
    <xf numFmtId="0" fontId="13" fillId="12" borderId="11" xfId="0" applyFont="1" applyFill="1" applyBorder="1" applyAlignment="1">
      <alignment horizontal="right" vertical="center" indent="1"/>
    </xf>
    <xf numFmtId="0" fontId="13" fillId="12" borderId="19" xfId="0" applyFont="1" applyFill="1" applyBorder="1" applyAlignment="1">
      <alignment horizontal="left" vertical="center" indent="1"/>
    </xf>
    <xf numFmtId="0" fontId="4" fillId="10" borderId="5" xfId="0" applyFont="1" applyFill="1" applyBorder="1" applyAlignment="1">
      <alignment horizontal="left" vertical="center" indent="1"/>
    </xf>
    <xf numFmtId="0" fontId="1" fillId="10" borderId="6" xfId="0" applyFont="1" applyFill="1" applyBorder="1" applyAlignment="1">
      <alignment horizontal="left" vertical="center" indent="1"/>
    </xf>
    <xf numFmtId="0" fontId="1" fillId="10" borderId="6" xfId="0" applyFont="1" applyFill="1" applyBorder="1"/>
    <xf numFmtId="169" fontId="12" fillId="10" borderId="6" xfId="0" applyNumberFormat="1" applyFont="1" applyFill="1" applyBorder="1" applyAlignment="1">
      <alignment horizontal="right" vertical="center" indent="1"/>
    </xf>
    <xf numFmtId="167" fontId="12" fillId="10" borderId="6" xfId="0" applyNumberFormat="1" applyFont="1" applyFill="1" applyBorder="1" applyAlignment="1">
      <alignment horizontal="right" vertical="center" indent="1"/>
    </xf>
    <xf numFmtId="0" fontId="1" fillId="10" borderId="7" xfId="0" applyFont="1" applyFill="1" applyBorder="1" applyAlignment="1">
      <alignment horizontal="left" vertical="center" indent="1"/>
    </xf>
    <xf numFmtId="0" fontId="7" fillId="10" borderId="20" xfId="0" applyFont="1" applyFill="1" applyBorder="1" applyAlignment="1">
      <alignment horizontal="left" vertical="center" indent="1"/>
    </xf>
    <xf numFmtId="0" fontId="1" fillId="10" borderId="21" xfId="0" applyFont="1" applyFill="1" applyBorder="1"/>
    <xf numFmtId="0" fontId="1" fillId="10" borderId="22" xfId="0" applyFont="1" applyFill="1" applyBorder="1"/>
    <xf numFmtId="0" fontId="1" fillId="10" borderId="5" xfId="0" applyFont="1" applyFill="1" applyBorder="1"/>
    <xf numFmtId="0" fontId="1" fillId="10" borderId="7" xfId="0" applyFont="1" applyFill="1" applyBorder="1"/>
    <xf numFmtId="0" fontId="1" fillId="0" borderId="0" xfId="0" applyFont="1"/>
    <xf numFmtId="0" fontId="36" fillId="0" borderId="0" xfId="0" applyFont="1"/>
    <xf numFmtId="0" fontId="10" fillId="0" borderId="0" xfId="0" applyFont="1" applyAlignment="1">
      <alignment vertical="center" wrapText="1"/>
    </xf>
    <xf numFmtId="0" fontId="37" fillId="0" borderId="11" xfId="0" applyFont="1" applyBorder="1"/>
    <xf numFmtId="0" fontId="12" fillId="0" borderId="0" xfId="0" applyFont="1" applyAlignment="1">
      <alignment vertical="center" wrapText="1" indent="2"/>
    </xf>
    <xf numFmtId="0" fontId="15" fillId="0" borderId="0" xfId="0" applyFont="1"/>
    <xf numFmtId="0" fontId="22" fillId="0" borderId="0" xfId="0" applyFont="1"/>
    <xf numFmtId="0" fontId="26" fillId="0" borderId="0" xfId="0" applyFont="1"/>
    <xf numFmtId="0" fontId="27" fillId="2" borderId="1" xfId="0" applyFont="1" applyFill="1" applyBorder="1" applyAlignment="1">
      <alignment horizontal="center" vertical="center"/>
    </xf>
    <xf numFmtId="0" fontId="27" fillId="4" borderId="1" xfId="0" applyFont="1" applyFill="1" applyBorder="1" applyAlignment="1">
      <alignment horizontal="center" vertical="center"/>
    </xf>
    <xf numFmtId="0" fontId="27" fillId="5" borderId="1" xfId="0" applyFont="1" applyFill="1" applyBorder="1" applyAlignment="1">
      <alignment horizontal="center" vertical="center"/>
    </xf>
    <xf numFmtId="0" fontId="27" fillId="3" borderId="1" xfId="0" applyFont="1" applyFill="1" applyBorder="1" applyAlignment="1">
      <alignment horizontal="center" vertical="center"/>
    </xf>
    <xf numFmtId="0" fontId="13" fillId="12" borderId="23" xfId="0" applyFont="1" applyFill="1" applyBorder="1" applyAlignment="1">
      <alignment horizontal="center" vertical="center" wrapText="1"/>
    </xf>
    <xf numFmtId="0" fontId="29" fillId="2" borderId="24" xfId="0" applyFont="1" applyFill="1" applyBorder="1" applyAlignment="1">
      <alignment vertical="center"/>
    </xf>
    <xf numFmtId="0" fontId="29" fillId="2" borderId="24" xfId="0" applyFont="1" applyFill="1" applyBorder="1" applyAlignment="1">
      <alignment vertical="center" wrapText="1"/>
    </xf>
    <xf numFmtId="2" fontId="29" fillId="2" borderId="24" xfId="0" applyNumberFormat="1" applyFont="1" applyFill="1" applyBorder="1" applyAlignment="1">
      <alignment vertical="center"/>
    </xf>
    <xf numFmtId="166" fontId="29" fillId="2" borderId="24" xfId="0" applyNumberFormat="1" applyFont="1" applyFill="1" applyBorder="1" applyAlignment="1">
      <alignment vertical="center"/>
    </xf>
    <xf numFmtId="167" fontId="29" fillId="2" borderId="24" xfId="0" applyNumberFormat="1" applyFont="1" applyFill="1" applyBorder="1" applyAlignment="1">
      <alignment vertical="center"/>
    </xf>
    <xf numFmtId="1" fontId="29" fillId="2" borderId="24" xfId="0" applyNumberFormat="1" applyFont="1" applyFill="1" applyBorder="1" applyAlignment="1">
      <alignment vertical="center"/>
    </xf>
    <xf numFmtId="2" fontId="30" fillId="4" borderId="24" xfId="0" applyNumberFormat="1" applyFont="1" applyFill="1" applyBorder="1" applyAlignment="1">
      <alignment vertical="center"/>
    </xf>
    <xf numFmtId="166" fontId="30" fillId="4" borderId="24" xfId="0" applyNumberFormat="1" applyFont="1" applyFill="1" applyBorder="1" applyAlignment="1">
      <alignment vertical="center"/>
    </xf>
    <xf numFmtId="1" fontId="30" fillId="4" borderId="24" xfId="0" applyNumberFormat="1" applyFont="1" applyFill="1" applyBorder="1" applyAlignment="1">
      <alignment vertical="center"/>
    </xf>
    <xf numFmtId="0" fontId="30" fillId="4" borderId="24" xfId="0" applyFont="1" applyFill="1" applyBorder="1" applyAlignment="1">
      <alignment vertical="center"/>
    </xf>
    <xf numFmtId="3" fontId="30" fillId="5" borderId="24" xfId="0" applyNumberFormat="1" applyFont="1" applyFill="1" applyBorder="1" applyAlignment="1">
      <alignment vertical="center"/>
    </xf>
    <xf numFmtId="166" fontId="30" fillId="5" borderId="24" xfId="0" applyNumberFormat="1" applyFont="1" applyFill="1" applyBorder="1" applyAlignment="1">
      <alignment vertical="center"/>
    </xf>
    <xf numFmtId="0" fontId="30" fillId="5" borderId="24" xfId="0" applyFont="1" applyFill="1" applyBorder="1" applyAlignment="1">
      <alignment vertical="center"/>
    </xf>
    <xf numFmtId="2" fontId="30" fillId="5" borderId="24" xfId="0" applyNumberFormat="1" applyFont="1" applyFill="1" applyBorder="1" applyAlignment="1">
      <alignment vertical="center"/>
    </xf>
    <xf numFmtId="11" fontId="30" fillId="5" borderId="24" xfId="0" applyNumberFormat="1" applyFont="1" applyFill="1" applyBorder="1" applyAlignment="1">
      <alignment vertical="center"/>
    </xf>
    <xf numFmtId="11" fontId="30" fillId="3" borderId="24" xfId="0" applyNumberFormat="1" applyFont="1" applyFill="1" applyBorder="1" applyAlignment="1">
      <alignment vertical="center"/>
    </xf>
    <xf numFmtId="169" fontId="30" fillId="5" borderId="24" xfId="0" applyNumberFormat="1" applyFont="1" applyFill="1" applyBorder="1" applyAlignment="1">
      <alignment vertical="center"/>
    </xf>
    <xf numFmtId="167" fontId="30" fillId="3" borderId="24" xfId="0" applyNumberFormat="1" applyFont="1" applyFill="1" applyBorder="1" applyAlignment="1">
      <alignment vertical="center"/>
    </xf>
    <xf numFmtId="0" fontId="30" fillId="3" borderId="24" xfId="0" applyFont="1" applyFill="1" applyBorder="1" applyAlignment="1">
      <alignment vertical="center"/>
    </xf>
    <xf numFmtId="166" fontId="30" fillId="3" borderId="24" xfId="0" applyNumberFormat="1" applyFont="1" applyFill="1" applyBorder="1" applyAlignment="1">
      <alignment vertical="center"/>
    </xf>
    <xf numFmtId="0" fontId="31" fillId="3" borderId="24" xfId="0" applyFont="1" applyFill="1" applyBorder="1" applyAlignment="1">
      <alignment vertical="center" wrapText="1"/>
    </xf>
    <xf numFmtId="2" fontId="30" fillId="3" borderId="24" xfId="0" applyNumberFormat="1" applyFont="1" applyFill="1" applyBorder="1" applyAlignment="1">
      <alignment vertical="center"/>
    </xf>
    <xf numFmtId="0" fontId="31" fillId="3" borderId="24" xfId="0" applyFont="1" applyFill="1" applyBorder="1" applyAlignment="1">
      <alignment vertical="center"/>
    </xf>
    <xf numFmtId="0" fontId="30" fillId="3" borderId="24" xfId="0" applyFont="1" applyFill="1" applyBorder="1" applyAlignment="1">
      <alignment vertical="center" wrapText="1"/>
    </xf>
    <xf numFmtId="1" fontId="30" fillId="5" borderId="24" xfId="0" applyNumberFormat="1" applyFont="1" applyFill="1" applyBorder="1" applyAlignment="1">
      <alignment vertical="center"/>
    </xf>
    <xf numFmtId="0" fontId="30" fillId="5" borderId="24" xfId="0" applyFont="1" applyFill="1" applyBorder="1" applyAlignment="1">
      <alignment vertical="center" wrapText="1"/>
    </xf>
    <xf numFmtId="1" fontId="30" fillId="3" borderId="24" xfId="0" applyNumberFormat="1" applyFont="1" applyFill="1" applyBorder="1" applyAlignment="1">
      <alignment vertical="center"/>
    </xf>
    <xf numFmtId="0" fontId="13" fillId="12" borderId="11" xfId="0" applyFont="1" applyFill="1" applyBorder="1" applyAlignment="1">
      <alignment horizontal="center" vertical="center" wrapText="1"/>
    </xf>
    <xf numFmtId="0" fontId="28" fillId="0" borderId="0" xfId="0" applyFont="1"/>
    <xf numFmtId="0" fontId="24" fillId="2" borderId="24" xfId="0" applyFont="1" applyFill="1" applyBorder="1"/>
    <xf numFmtId="0" fontId="33" fillId="0" borderId="24" xfId="0" applyFont="1" applyBorder="1"/>
    <xf numFmtId="0" fontId="2" fillId="7" borderId="24" xfId="0" applyFont="1" applyFill="1" applyBorder="1"/>
    <xf numFmtId="0" fontId="3" fillId="2" borderId="24" xfId="0" applyFont="1" applyFill="1" applyBorder="1"/>
    <xf numFmtId="0" fontId="34" fillId="2" borderId="24" xfId="0" applyFont="1" applyFill="1" applyBorder="1"/>
    <xf numFmtId="0" fontId="3" fillId="0" borderId="0" xfId="0" applyFont="1"/>
    <xf numFmtId="0" fontId="13" fillId="12" borderId="11" xfId="0" applyFont="1" applyFill="1" applyBorder="1" applyAlignment="1">
      <alignment vertical="center" wrapText="1"/>
    </xf>
    <xf numFmtId="0" fontId="25" fillId="0" borderId="0" xfId="0" applyFont="1"/>
    <xf numFmtId="0" fontId="24" fillId="2" borderId="0" xfId="0" applyFont="1" applyFill="1"/>
    <xf numFmtId="0" fontId="32" fillId="0" borderId="0" xfId="0" applyFont="1"/>
    <xf numFmtId="0" fontId="2" fillId="7" borderId="0" xfId="0" applyFont="1" applyFill="1"/>
    <xf numFmtId="0" fontId="35" fillId="0" borderId="0" xfId="0" applyFont="1"/>
    <xf numFmtId="0" fontId="13" fillId="12" borderId="11" xfId="0" applyFont="1" applyFill="1" applyBorder="1" applyAlignment="1">
      <alignment horizontal="left" vertical="center" wrapText="1"/>
    </xf>
    <xf numFmtId="0" fontId="23" fillId="0" borderId="0" xfId="0" applyFont="1"/>
    <xf numFmtId="0" fontId="25" fillId="0" borderId="1" xfId="0" applyFont="1" applyBorder="1" applyAlignment="1">
      <alignment horizontal="center" vertical="center"/>
    </xf>
    <xf numFmtId="0" fontId="1" fillId="0" borderId="0" xfId="0" applyFont="1" applyAlignment="1">
      <alignment vertical="center" wrapText="1"/>
    </xf>
    <xf numFmtId="0" fontId="11" fillId="0" borderId="0" xfId="0" applyFont="1" applyAlignment="1">
      <alignment horizontal="left" vertical="center"/>
    </xf>
    <xf numFmtId="0" fontId="3" fillId="0" borderId="0" xfId="0" applyFont="1" applyAlignment="1">
      <alignment horizontal="left" vertical="center"/>
    </xf>
    <xf numFmtId="0" fontId="7" fillId="0" borderId="11" xfId="0" applyFont="1" applyBorder="1" applyAlignment="1">
      <alignment horizontal="left" vertical="center"/>
    </xf>
    <xf numFmtId="0" fontId="0" fillId="0" borderId="11" xfId="0" applyBorder="1"/>
    <xf numFmtId="0" fontId="1" fillId="0" borderId="6" xfId="0" applyFont="1" applyBorder="1" applyAlignment="1">
      <alignment horizontal="left" vertical="center"/>
    </xf>
    <xf numFmtId="0" fontId="12" fillId="11" borderId="6" xfId="0" applyFont="1" applyFill="1" applyBorder="1" applyAlignment="1">
      <alignment horizontal="right"/>
    </xf>
    <xf numFmtId="0" fontId="9" fillId="0" borderId="6" xfId="0" applyFont="1" applyBorder="1" applyAlignment="1">
      <alignment horizontal="left" vertical="center" indent="1"/>
    </xf>
    <xf numFmtId="0" fontId="12" fillId="0" borderId="6" xfId="0" applyFont="1" applyBorder="1" applyAlignment="1">
      <alignment horizontal="right"/>
    </xf>
    <xf numFmtId="2" fontId="12" fillId="11" borderId="6" xfId="0" applyNumberFormat="1" applyFont="1" applyFill="1" applyBorder="1" applyAlignment="1">
      <alignment horizontal="right"/>
    </xf>
    <xf numFmtId="171" fontId="12" fillId="11" borderId="6" xfId="0" applyNumberFormat="1" applyFont="1" applyFill="1" applyBorder="1" applyAlignment="1">
      <alignment horizontal="right"/>
    </xf>
    <xf numFmtId="1" fontId="12" fillId="11" borderId="6" xfId="0" applyNumberFormat="1" applyFont="1" applyFill="1" applyBorder="1" applyAlignment="1">
      <alignment horizontal="right"/>
    </xf>
    <xf numFmtId="166" fontId="12" fillId="11" borderId="6" xfId="0" applyNumberFormat="1" applyFont="1" applyFill="1" applyBorder="1" applyAlignment="1">
      <alignment horizontal="right"/>
    </xf>
    <xf numFmtId="166" fontId="12" fillId="0" borderId="6" xfId="0" applyNumberFormat="1" applyFont="1" applyBorder="1" applyAlignment="1">
      <alignment horizontal="right"/>
    </xf>
    <xf numFmtId="167" fontId="12" fillId="0" borderId="6" xfId="0" applyNumberFormat="1" applyFont="1" applyBorder="1" applyAlignment="1">
      <alignment horizontal="right"/>
    </xf>
    <xf numFmtId="2" fontId="12" fillId="0" borderId="6" xfId="0" applyNumberFormat="1" applyFont="1" applyBorder="1" applyAlignment="1">
      <alignment horizontal="right"/>
    </xf>
    <xf numFmtId="169" fontId="12" fillId="0" borderId="6" xfId="0" applyNumberFormat="1" applyFont="1" applyBorder="1" applyAlignment="1">
      <alignment horizontal="right"/>
    </xf>
    <xf numFmtId="170" fontId="12" fillId="0" borderId="6" xfId="0" applyNumberFormat="1" applyFont="1" applyBorder="1" applyAlignment="1">
      <alignment horizontal="right"/>
    </xf>
    <xf numFmtId="3" fontId="12" fillId="0" borderId="6" xfId="0" applyNumberFormat="1" applyFont="1" applyBorder="1" applyAlignment="1">
      <alignment horizontal="right"/>
    </xf>
    <xf numFmtId="172" fontId="12" fillId="0" borderId="6" xfId="0" applyNumberFormat="1" applyFont="1" applyBorder="1" applyAlignment="1">
      <alignment horizontal="right"/>
    </xf>
    <xf numFmtId="0" fontId="13" fillId="12" borderId="11" xfId="0" applyFont="1" applyFill="1" applyBorder="1" applyAlignment="1">
      <alignment horizontal="left" vertical="center" wrapText="1" indent="1"/>
    </xf>
    <xf numFmtId="0" fontId="12" fillId="0" borderId="6" xfId="0" applyFont="1" applyBorder="1" applyAlignment="1">
      <alignment horizontal="left" vertical="center" indent="1"/>
    </xf>
    <xf numFmtId="0" fontId="12" fillId="0" borderId="6" xfId="0" applyFont="1" applyBorder="1" applyAlignment="1">
      <alignment horizontal="center" vertical="center"/>
    </xf>
    <xf numFmtId="172" fontId="12" fillId="0" borderId="6" xfId="0" applyNumberFormat="1" applyFont="1" applyBorder="1" applyAlignment="1">
      <alignment horizontal="center" vertical="center"/>
    </xf>
    <xf numFmtId="2" fontId="12" fillId="0" borderId="6" xfId="0" applyNumberFormat="1" applyFont="1" applyBorder="1" applyAlignment="1">
      <alignment horizontal="center" vertical="center"/>
    </xf>
    <xf numFmtId="167" fontId="12" fillId="0" borderId="6" xfId="0" applyNumberFormat="1" applyFont="1" applyBorder="1" applyAlignment="1">
      <alignment horizontal="center" vertical="center"/>
    </xf>
    <xf numFmtId="166" fontId="12" fillId="0" borderId="6" xfId="0" applyNumberFormat="1" applyFont="1" applyBorder="1" applyAlignment="1">
      <alignment horizontal="center" vertical="center"/>
    </xf>
    <xf numFmtId="0" fontId="12" fillId="0" borderId="12" xfId="0" applyFont="1" applyBorder="1" applyAlignment="1">
      <alignment horizontal="left" vertical="center" indent="1"/>
    </xf>
    <xf numFmtId="0" fontId="12" fillId="0" borderId="12" xfId="0" applyFont="1" applyBorder="1" applyAlignment="1">
      <alignment horizontal="center" vertical="center"/>
    </xf>
    <xf numFmtId="172" fontId="12" fillId="0" borderId="12" xfId="0" applyNumberFormat="1" applyFont="1" applyBorder="1" applyAlignment="1">
      <alignment horizontal="center" vertical="center"/>
    </xf>
    <xf numFmtId="2" fontId="12" fillId="0" borderId="12" xfId="0" applyNumberFormat="1" applyFont="1" applyBorder="1" applyAlignment="1">
      <alignment horizontal="center" vertical="center"/>
    </xf>
    <xf numFmtId="167" fontId="12" fillId="0" borderId="12" xfId="0" applyNumberFormat="1" applyFont="1" applyBorder="1" applyAlignment="1">
      <alignment horizontal="center" vertical="center"/>
    </xf>
    <xf numFmtId="166" fontId="12" fillId="0" borderId="12" xfId="0" applyNumberFormat="1" applyFont="1" applyBorder="1" applyAlignment="1">
      <alignment horizontal="center" vertical="center"/>
    </xf>
    <xf numFmtId="0" fontId="9" fillId="0" borderId="0" xfId="0" applyFont="1" applyAlignment="1">
      <alignment horizontal="left" vertical="center"/>
    </xf>
    <xf numFmtId="0" fontId="12" fillId="0" borderId="6" xfId="0" applyFont="1" applyBorder="1" applyAlignment="1">
      <alignment horizontal="left"/>
    </xf>
    <xf numFmtId="2" fontId="12" fillId="0" borderId="6" xfId="0" applyNumberFormat="1" applyFont="1" applyBorder="1" applyAlignment="1">
      <alignment horizontal="left"/>
    </xf>
    <xf numFmtId="0" fontId="13" fillId="12" borderId="0" xfId="0" applyFont="1" applyFill="1" applyAlignment="1">
      <alignment horizontal="left" vertical="center" indent="1"/>
    </xf>
    <xf numFmtId="2" fontId="14" fillId="0" borderId="0" xfId="0" applyNumberFormat="1" applyFont="1"/>
    <xf numFmtId="0" fontId="19" fillId="10" borderId="3" xfId="0" applyFont="1" applyFill="1" applyBorder="1" applyAlignment="1">
      <alignment horizontal="left" vertical="center" indent="1"/>
    </xf>
    <xf numFmtId="0" fontId="0" fillId="0" borderId="0" xfId="0"/>
    <xf numFmtId="0" fontId="1" fillId="10" borderId="6" xfId="0" applyFont="1" applyFill="1" applyBorder="1" applyAlignment="1">
      <alignment horizontal="left" vertical="center" indent="1"/>
    </xf>
    <xf numFmtId="0" fontId="0" fillId="0" borderId="6" xfId="0" applyBorder="1"/>
    <xf numFmtId="0" fontId="20" fillId="10" borderId="4" xfId="0" applyFont="1" applyFill="1" applyBorder="1" applyAlignment="1">
      <alignment horizontal="left" vertical="center" indent="1"/>
    </xf>
    <xf numFmtId="0" fontId="0" fillId="0" borderId="14" xfId="0" applyBorder="1"/>
    <xf numFmtId="0" fontId="13" fillId="12" borderId="11" xfId="0" applyFont="1" applyFill="1" applyBorder="1" applyAlignment="1">
      <alignment horizontal="left" vertical="center" indent="1"/>
    </xf>
    <xf numFmtId="0" fontId="0" fillId="12" borderId="11" xfId="0" applyFill="1" applyBorder="1"/>
    <xf numFmtId="0" fontId="1" fillId="10" borderId="7" xfId="0" applyFont="1" applyFill="1" applyBorder="1" applyAlignment="1">
      <alignment horizontal="left" vertical="center" indent="1"/>
    </xf>
    <xf numFmtId="0" fontId="0" fillId="0" borderId="7" xfId="0" applyBorder="1"/>
    <xf numFmtId="0" fontId="15" fillId="10" borderId="13" xfId="0" applyFont="1" applyFill="1" applyBorder="1" applyAlignment="1">
      <alignment horizontal="left" vertical="center" indent="1"/>
    </xf>
    <xf numFmtId="0" fontId="17" fillId="10" borderId="6" xfId="0" applyFont="1" applyFill="1" applyBorder="1" applyAlignment="1">
      <alignment horizontal="left" vertical="center" indent="1"/>
    </xf>
    <xf numFmtId="0" fontId="16" fillId="10" borderId="13" xfId="0" applyFont="1" applyFill="1" applyBorder="1" applyAlignment="1">
      <alignment horizontal="left" vertical="center" indent="1"/>
    </xf>
    <xf numFmtId="0" fontId="9" fillId="10" borderId="7" xfId="0" applyFont="1" applyFill="1" applyBorder="1" applyAlignment="1">
      <alignment horizontal="left" vertical="top" wrapText="1" indent="1"/>
    </xf>
    <xf numFmtId="0" fontId="1" fillId="10" borderId="13" xfId="0" applyFont="1" applyFill="1" applyBorder="1" applyAlignment="1">
      <alignment horizontal="left" vertical="top" wrapText="1" indent="1"/>
    </xf>
    <xf numFmtId="0" fontId="9" fillId="10" borderId="17" xfId="0" applyFont="1" applyFill="1" applyBorder="1" applyAlignment="1">
      <alignment horizontal="left" vertical="center" indent="1"/>
    </xf>
    <xf numFmtId="0" fontId="0" fillId="0" borderId="15" xfId="0" applyBorder="1"/>
    <xf numFmtId="0" fontId="0" fillId="0" borderId="16" xfId="0" applyBorder="1"/>
    <xf numFmtId="0" fontId="6" fillId="9" borderId="0" xfId="0" applyFont="1" applyFill="1" applyAlignment="1">
      <alignment horizontal="right" vertical="center" indent="1"/>
    </xf>
    <xf numFmtId="0" fontId="18" fillId="15" borderId="2" xfId="0" applyFont="1" applyFill="1" applyBorder="1" applyAlignment="1">
      <alignment horizontal="center" vertical="center"/>
    </xf>
    <xf numFmtId="0" fontId="0" fillId="15" borderId="5" xfId="0" applyFill="1" applyBorder="1"/>
    <xf numFmtId="0" fontId="9" fillId="10" borderId="13" xfId="0" applyFont="1" applyFill="1" applyBorder="1" applyAlignment="1">
      <alignment horizontal="left" vertical="center" indent="1"/>
    </xf>
    <xf numFmtId="0" fontId="18" fillId="13" borderId="2" xfId="0" applyFont="1" applyFill="1" applyBorder="1" applyAlignment="1">
      <alignment horizontal="center" vertical="center"/>
    </xf>
    <xf numFmtId="0" fontId="0" fillId="13" borderId="5" xfId="0" applyFill="1" applyBorder="1"/>
    <xf numFmtId="0" fontId="17" fillId="10" borderId="7" xfId="0" applyFont="1" applyFill="1" applyBorder="1" applyAlignment="1">
      <alignment horizontal="left" vertical="center" indent="1"/>
    </xf>
    <xf numFmtId="0" fontId="18" fillId="14" borderId="2" xfId="0" applyFont="1" applyFill="1" applyBorder="1" applyAlignment="1">
      <alignment horizontal="center" vertical="center"/>
    </xf>
    <xf numFmtId="0" fontId="0" fillId="14" borderId="5" xfId="0" applyFill="1" applyBorder="1"/>
    <xf numFmtId="0" fontId="9" fillId="10" borderId="4" xfId="0" applyFont="1" applyFill="1" applyBorder="1" applyAlignment="1">
      <alignment horizontal="left" vertical="center" indent="1"/>
    </xf>
    <xf numFmtId="0" fontId="13" fillId="12" borderId="19" xfId="0" applyFont="1" applyFill="1" applyBorder="1" applyAlignment="1">
      <alignment horizontal="left" vertical="center" indent="1"/>
    </xf>
    <xf numFmtId="0" fontId="0" fillId="12" borderId="19" xfId="0" applyFill="1" applyBorder="1"/>
    <xf numFmtId="0" fontId="3" fillId="8" borderId="0" xfId="0" applyFont="1" applyFill="1" applyAlignment="1">
      <alignment horizontal="left" vertical="center" indent="1"/>
    </xf>
    <xf numFmtId="0" fontId="21" fillId="10" borderId="2" xfId="0" applyFont="1" applyFill="1" applyBorder="1" applyAlignment="1">
      <alignment horizontal="left" vertical="center" indent="1"/>
    </xf>
    <xf numFmtId="0" fontId="4" fillId="10" borderId="7" xfId="0" applyFont="1" applyFill="1" applyBorder="1" applyAlignment="1">
      <alignment horizontal="left" vertical="center" indent="1"/>
    </xf>
    <xf numFmtId="0" fontId="28" fillId="6" borderId="0" xfId="0" applyFont="1" applyFill="1" applyAlignment="1">
      <alignment horizontal="left" vertical="center" indent="1"/>
    </xf>
    <xf numFmtId="0" fontId="22" fillId="0" borderId="0" xfId="0" applyFont="1"/>
    <xf numFmtId="0" fontId="1" fillId="0" borderId="0" xfId="0" applyFont="1" applyAlignment="1">
      <alignment vertical="top" wrapText="1"/>
    </xf>
  </cellXfs>
  <cellStyles count="1">
    <cellStyle name="Normal" xfId="0" builtinId="0"/>
  </cellStyles>
  <dxfs count="16">
    <dxf>
      <fill>
        <patternFill>
          <bgColor rgb="FFA9D08E"/>
        </patternFill>
      </fill>
    </dxf>
    <dxf>
      <fill>
        <patternFill>
          <bgColor rgb="FFFFE699"/>
        </patternFill>
      </fill>
    </dxf>
    <dxf>
      <fill>
        <patternFill>
          <bgColor rgb="FFF4B183"/>
        </patternFill>
      </fill>
    </dxf>
    <dxf>
      <fill>
        <patternFill>
          <bgColor rgb="FFFF7C80"/>
        </patternFill>
      </fill>
    </dxf>
    <dxf>
      <fill>
        <patternFill>
          <bgColor rgb="FFA9D08E"/>
        </patternFill>
      </fill>
    </dxf>
    <dxf>
      <fill>
        <patternFill>
          <bgColor rgb="FFFFE699"/>
        </patternFill>
      </fill>
    </dxf>
    <dxf>
      <fill>
        <patternFill>
          <bgColor rgb="FFF4B183"/>
        </patternFill>
      </fill>
    </dxf>
    <dxf>
      <fill>
        <patternFill>
          <bgColor rgb="FFFF7C80"/>
        </patternFill>
      </fill>
    </dxf>
    <dxf>
      <font>
        <color rgb="FF5B6577"/>
      </font>
    </dxf>
    <dxf>
      <font>
        <color rgb="FF5B6577"/>
      </font>
    </dxf>
    <dxf>
      <font>
        <color rgb="FF5B6577"/>
      </font>
    </dxf>
    <dxf>
      <font>
        <color rgb="FF3A6B23"/>
      </font>
    </dxf>
    <dxf>
      <font>
        <color rgb="FF5B6577"/>
      </font>
      <fill>
        <patternFill patternType="solid">
          <bgColor rgb="FFEEF1F5"/>
        </patternFill>
      </fill>
    </dxf>
    <dxf>
      <font>
        <color rgb="FF5B6577"/>
      </font>
      <fill>
        <patternFill patternType="solid">
          <bgColor rgb="FFEEF1F5"/>
        </patternFill>
      </fill>
    </dxf>
    <dxf>
      <font>
        <color rgb="FF5B6577"/>
      </font>
      <fill>
        <patternFill patternType="solid">
          <bgColor rgb="FFEEF1F5"/>
        </patternFill>
      </fill>
    </dxf>
    <dxf>
      <font>
        <b/>
      </font>
      <fill>
        <patternFill patternType="solid">
          <bgColor rgb="FFE9EEF5"/>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7C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E699"/>
      <rgbColor rgb="FFA9D08E"/>
      <rgbColor rgb="FFFF99CC"/>
      <rgbColor rgb="FFCC99FF"/>
      <rgbColor rgb="FFF4B183"/>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1"/>
  <c:chart>
    <c:autoTitleDeleted val="1"/>
    <c:plotArea>
      <c:layout/>
      <c:radarChart>
        <c:radarStyle val="filled"/>
        <c:varyColors val="1"/>
        <c:ser>
          <c:idx val="0"/>
          <c:order val="0"/>
          <c:tx>
            <c:strRef>
              <c:f>'Quick Zone Calc'!$C$126</c:f>
              <c:strCache>
                <c:ptCount val="1"/>
                <c:pt idx="0">
                  <c:v>Zone 2 · 2.65 m</c:v>
                </c:pt>
              </c:strCache>
            </c:strRef>
          </c:tx>
          <c:spPr>
            <a:solidFill>
              <a:srgbClr val="FFE699"/>
            </a:solidFill>
            <a:ln w="6350">
              <a:solidFill>
                <a:srgbClr val="FFFFFF"/>
              </a:solidFill>
              <a:prstDash val="solid"/>
            </a:ln>
          </c:spPr>
          <c:cat>
            <c:numRef>
              <c:f>'Quick Zone Calc'!$B$127:$B$198</c:f>
              <c:numCache>
                <c:formatCode>0.00</c:formatCode>
                <c:ptCount val="7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pt idx="41">
                  <c:v>205</c:v>
                </c:pt>
                <c:pt idx="42">
                  <c:v>210</c:v>
                </c:pt>
                <c:pt idx="43">
                  <c:v>215</c:v>
                </c:pt>
                <c:pt idx="44">
                  <c:v>220</c:v>
                </c:pt>
                <c:pt idx="45">
                  <c:v>225</c:v>
                </c:pt>
                <c:pt idx="46">
                  <c:v>230</c:v>
                </c:pt>
                <c:pt idx="47">
                  <c:v>235</c:v>
                </c:pt>
                <c:pt idx="48">
                  <c:v>240</c:v>
                </c:pt>
                <c:pt idx="49">
                  <c:v>245</c:v>
                </c:pt>
                <c:pt idx="50">
                  <c:v>250</c:v>
                </c:pt>
                <c:pt idx="51">
                  <c:v>255</c:v>
                </c:pt>
                <c:pt idx="52">
                  <c:v>260</c:v>
                </c:pt>
                <c:pt idx="53">
                  <c:v>265</c:v>
                </c:pt>
                <c:pt idx="54">
                  <c:v>270</c:v>
                </c:pt>
                <c:pt idx="55">
                  <c:v>275</c:v>
                </c:pt>
                <c:pt idx="56">
                  <c:v>280</c:v>
                </c:pt>
                <c:pt idx="57">
                  <c:v>285</c:v>
                </c:pt>
                <c:pt idx="58">
                  <c:v>290</c:v>
                </c:pt>
                <c:pt idx="59">
                  <c:v>295</c:v>
                </c:pt>
                <c:pt idx="60">
                  <c:v>300</c:v>
                </c:pt>
                <c:pt idx="61">
                  <c:v>305</c:v>
                </c:pt>
                <c:pt idx="62">
                  <c:v>310</c:v>
                </c:pt>
                <c:pt idx="63">
                  <c:v>315</c:v>
                </c:pt>
                <c:pt idx="64">
                  <c:v>320</c:v>
                </c:pt>
                <c:pt idx="65">
                  <c:v>325</c:v>
                </c:pt>
                <c:pt idx="66">
                  <c:v>330</c:v>
                </c:pt>
                <c:pt idx="67">
                  <c:v>335</c:v>
                </c:pt>
                <c:pt idx="68">
                  <c:v>340</c:v>
                </c:pt>
                <c:pt idx="69">
                  <c:v>345</c:v>
                </c:pt>
                <c:pt idx="70">
                  <c:v>350</c:v>
                </c:pt>
                <c:pt idx="71">
                  <c:v>355</c:v>
                </c:pt>
              </c:numCache>
            </c:numRef>
          </c:cat>
          <c:val>
            <c:numRef>
              <c:f>'Quick Zone Calc'!$C$127:$C$198</c:f>
              <c:numCache>
                <c:formatCode>0.00</c:formatCode>
                <c:ptCount val="72"/>
                <c:pt idx="0">
                  <c:v>2.6540040603836981</c:v>
                </c:pt>
                <c:pt idx="1">
                  <c:v>2.6540040603836981</c:v>
                </c:pt>
                <c:pt idx="2">
                  <c:v>2.6540040603836981</c:v>
                </c:pt>
                <c:pt idx="3">
                  <c:v>2.6540040603836981</c:v>
                </c:pt>
                <c:pt idx="4">
                  <c:v>2.6540040603836981</c:v>
                </c:pt>
                <c:pt idx="5">
                  <c:v>2.6540040603836981</c:v>
                </c:pt>
                <c:pt idx="6">
                  <c:v>2.6540040603836981</c:v>
                </c:pt>
                <c:pt idx="7">
                  <c:v>2.6540040603836981</c:v>
                </c:pt>
                <c:pt idx="8">
                  <c:v>2.6540040603836981</c:v>
                </c:pt>
                <c:pt idx="9">
                  <c:v>2.6540040603836981</c:v>
                </c:pt>
                <c:pt idx="10">
                  <c:v>2.6540040603836981</c:v>
                </c:pt>
                <c:pt idx="11">
                  <c:v>2.6540040603836981</c:v>
                </c:pt>
                <c:pt idx="12">
                  <c:v>2.6540040603836981</c:v>
                </c:pt>
                <c:pt idx="13">
                  <c:v>2.6540040603836981</c:v>
                </c:pt>
                <c:pt idx="14">
                  <c:v>2.6540040603836981</c:v>
                </c:pt>
                <c:pt idx="15">
                  <c:v>2.6540040603836981</c:v>
                </c:pt>
                <c:pt idx="16">
                  <c:v>2.6540040603836981</c:v>
                </c:pt>
                <c:pt idx="17">
                  <c:v>2.6540040603836981</c:v>
                </c:pt>
                <c:pt idx="18">
                  <c:v>2.6540040603836981</c:v>
                </c:pt>
                <c:pt idx="19">
                  <c:v>2.6540040603836981</c:v>
                </c:pt>
                <c:pt idx="20">
                  <c:v>2.6540040603836981</c:v>
                </c:pt>
                <c:pt idx="21">
                  <c:v>2.6540040603836981</c:v>
                </c:pt>
                <c:pt idx="22">
                  <c:v>2.6540040603836981</c:v>
                </c:pt>
                <c:pt idx="23">
                  <c:v>2.6540040603836981</c:v>
                </c:pt>
                <c:pt idx="24">
                  <c:v>2.6540040603836981</c:v>
                </c:pt>
                <c:pt idx="25">
                  <c:v>2.6540040603836981</c:v>
                </c:pt>
                <c:pt idx="26">
                  <c:v>2.6540040603836981</c:v>
                </c:pt>
                <c:pt idx="27">
                  <c:v>2.6540040603836981</c:v>
                </c:pt>
                <c:pt idx="28">
                  <c:v>2.6540040603836981</c:v>
                </c:pt>
                <c:pt idx="29">
                  <c:v>2.6540040603836981</c:v>
                </c:pt>
                <c:pt idx="30">
                  <c:v>2.6540040603836981</c:v>
                </c:pt>
                <c:pt idx="31">
                  <c:v>2.6540040603836981</c:v>
                </c:pt>
                <c:pt idx="32">
                  <c:v>2.6540040603836981</c:v>
                </c:pt>
                <c:pt idx="33">
                  <c:v>2.6540040603836981</c:v>
                </c:pt>
                <c:pt idx="34">
                  <c:v>2.6540040603836981</c:v>
                </c:pt>
                <c:pt idx="35">
                  <c:v>2.6540040603836981</c:v>
                </c:pt>
                <c:pt idx="36">
                  <c:v>2.6540040603836981</c:v>
                </c:pt>
                <c:pt idx="37">
                  <c:v>2.6540040603836981</c:v>
                </c:pt>
                <c:pt idx="38">
                  <c:v>2.6540040603836981</c:v>
                </c:pt>
                <c:pt idx="39">
                  <c:v>2.6540040603836981</c:v>
                </c:pt>
                <c:pt idx="40">
                  <c:v>2.6540040603836981</c:v>
                </c:pt>
                <c:pt idx="41">
                  <c:v>2.6540040603836981</c:v>
                </c:pt>
                <c:pt idx="42">
                  <c:v>2.6540040603836981</c:v>
                </c:pt>
                <c:pt idx="43">
                  <c:v>2.6540040603836981</c:v>
                </c:pt>
                <c:pt idx="44">
                  <c:v>2.6540040603836981</c:v>
                </c:pt>
                <c:pt idx="45">
                  <c:v>2.6540040603836981</c:v>
                </c:pt>
                <c:pt idx="46">
                  <c:v>2.6540040603836981</c:v>
                </c:pt>
                <c:pt idx="47">
                  <c:v>2.6540040603836981</c:v>
                </c:pt>
                <c:pt idx="48">
                  <c:v>2.6540040603836981</c:v>
                </c:pt>
                <c:pt idx="49">
                  <c:v>2.6540040603836981</c:v>
                </c:pt>
                <c:pt idx="50">
                  <c:v>2.6540040603836981</c:v>
                </c:pt>
                <c:pt idx="51">
                  <c:v>2.6540040603836981</c:v>
                </c:pt>
                <c:pt idx="52">
                  <c:v>2.6540040603836981</c:v>
                </c:pt>
                <c:pt idx="53">
                  <c:v>2.6540040603836981</c:v>
                </c:pt>
                <c:pt idx="54">
                  <c:v>2.6540040603836981</c:v>
                </c:pt>
                <c:pt idx="55">
                  <c:v>2.6540040603836981</c:v>
                </c:pt>
                <c:pt idx="56">
                  <c:v>2.6540040603836981</c:v>
                </c:pt>
                <c:pt idx="57">
                  <c:v>2.6540040603836981</c:v>
                </c:pt>
                <c:pt idx="58">
                  <c:v>2.6540040603836981</c:v>
                </c:pt>
                <c:pt idx="59">
                  <c:v>2.6540040603836981</c:v>
                </c:pt>
                <c:pt idx="60">
                  <c:v>2.6540040603836981</c:v>
                </c:pt>
                <c:pt idx="61">
                  <c:v>2.6540040603836981</c:v>
                </c:pt>
                <c:pt idx="62">
                  <c:v>2.6540040603836981</c:v>
                </c:pt>
                <c:pt idx="63">
                  <c:v>2.6540040603836981</c:v>
                </c:pt>
                <c:pt idx="64">
                  <c:v>2.6540040603836981</c:v>
                </c:pt>
                <c:pt idx="65">
                  <c:v>2.6540040603836981</c:v>
                </c:pt>
                <c:pt idx="66">
                  <c:v>2.6540040603836981</c:v>
                </c:pt>
                <c:pt idx="67">
                  <c:v>2.6540040603836981</c:v>
                </c:pt>
                <c:pt idx="68">
                  <c:v>2.6540040603836981</c:v>
                </c:pt>
                <c:pt idx="69">
                  <c:v>2.6540040603836981</c:v>
                </c:pt>
                <c:pt idx="70">
                  <c:v>2.6540040603836981</c:v>
                </c:pt>
                <c:pt idx="71">
                  <c:v>2.6540040603836981</c:v>
                </c:pt>
              </c:numCache>
            </c:numRef>
          </c:val>
          <c:extLst>
            <c:ext xmlns:c16="http://schemas.microsoft.com/office/drawing/2014/chart" uri="{C3380CC4-5D6E-409C-BE32-E72D297353CC}">
              <c16:uniqueId val="{00000000-C092-4D9A-A6F0-DE2FFD6191BC}"/>
            </c:ext>
          </c:extLst>
        </c:ser>
        <c:ser>
          <c:idx val="1"/>
          <c:order val="1"/>
          <c:tx>
            <c:strRef>
              <c:f>'Quick Zone Calc'!$D$126</c:f>
              <c:strCache>
                <c:ptCount val="1"/>
                <c:pt idx="0">
                  <c:v>Zone 1 · 0.52 m</c:v>
                </c:pt>
              </c:strCache>
            </c:strRef>
          </c:tx>
          <c:spPr>
            <a:solidFill>
              <a:srgbClr val="F4B183"/>
            </a:solidFill>
            <a:ln w="6350">
              <a:solidFill>
                <a:srgbClr val="FFFFFF"/>
              </a:solidFill>
              <a:prstDash val="solid"/>
            </a:ln>
          </c:spPr>
          <c:cat>
            <c:numRef>
              <c:f>'Quick Zone Calc'!$B$127:$B$198</c:f>
              <c:numCache>
                <c:formatCode>0.00</c:formatCode>
                <c:ptCount val="7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pt idx="41">
                  <c:v>205</c:v>
                </c:pt>
                <c:pt idx="42">
                  <c:v>210</c:v>
                </c:pt>
                <c:pt idx="43">
                  <c:v>215</c:v>
                </c:pt>
                <c:pt idx="44">
                  <c:v>220</c:v>
                </c:pt>
                <c:pt idx="45">
                  <c:v>225</c:v>
                </c:pt>
                <c:pt idx="46">
                  <c:v>230</c:v>
                </c:pt>
                <c:pt idx="47">
                  <c:v>235</c:v>
                </c:pt>
                <c:pt idx="48">
                  <c:v>240</c:v>
                </c:pt>
                <c:pt idx="49">
                  <c:v>245</c:v>
                </c:pt>
                <c:pt idx="50">
                  <c:v>250</c:v>
                </c:pt>
                <c:pt idx="51">
                  <c:v>255</c:v>
                </c:pt>
                <c:pt idx="52">
                  <c:v>260</c:v>
                </c:pt>
                <c:pt idx="53">
                  <c:v>265</c:v>
                </c:pt>
                <c:pt idx="54">
                  <c:v>270</c:v>
                </c:pt>
                <c:pt idx="55">
                  <c:v>275</c:v>
                </c:pt>
                <c:pt idx="56">
                  <c:v>280</c:v>
                </c:pt>
                <c:pt idx="57">
                  <c:v>285</c:v>
                </c:pt>
                <c:pt idx="58">
                  <c:v>290</c:v>
                </c:pt>
                <c:pt idx="59">
                  <c:v>295</c:v>
                </c:pt>
                <c:pt idx="60">
                  <c:v>300</c:v>
                </c:pt>
                <c:pt idx="61">
                  <c:v>305</c:v>
                </c:pt>
                <c:pt idx="62">
                  <c:v>310</c:v>
                </c:pt>
                <c:pt idx="63">
                  <c:v>315</c:v>
                </c:pt>
                <c:pt idx="64">
                  <c:v>320</c:v>
                </c:pt>
                <c:pt idx="65">
                  <c:v>325</c:v>
                </c:pt>
                <c:pt idx="66">
                  <c:v>330</c:v>
                </c:pt>
                <c:pt idx="67">
                  <c:v>335</c:v>
                </c:pt>
                <c:pt idx="68">
                  <c:v>340</c:v>
                </c:pt>
                <c:pt idx="69">
                  <c:v>345</c:v>
                </c:pt>
                <c:pt idx="70">
                  <c:v>350</c:v>
                </c:pt>
                <c:pt idx="71">
                  <c:v>355</c:v>
                </c:pt>
              </c:numCache>
            </c:numRef>
          </c:cat>
          <c:val>
            <c:numRef>
              <c:f>'Quick Zone Calc'!$D$127:$D$198</c:f>
              <c:numCache>
                <c:formatCode>0.00</c:formatCode>
                <c:ptCount val="72"/>
                <c:pt idx="0">
                  <c:v>0.51863879982348959</c:v>
                </c:pt>
                <c:pt idx="1">
                  <c:v>0.51863879982348959</c:v>
                </c:pt>
                <c:pt idx="2">
                  <c:v>0.51863879982348959</c:v>
                </c:pt>
                <c:pt idx="3">
                  <c:v>0.51863879982348959</c:v>
                </c:pt>
                <c:pt idx="4">
                  <c:v>0.51863879982348959</c:v>
                </c:pt>
                <c:pt idx="5">
                  <c:v>0.51863879982348959</c:v>
                </c:pt>
                <c:pt idx="6">
                  <c:v>0.51863879982348959</c:v>
                </c:pt>
                <c:pt idx="7">
                  <c:v>0.51863879982348959</c:v>
                </c:pt>
                <c:pt idx="8">
                  <c:v>0.51863879982348959</c:v>
                </c:pt>
                <c:pt idx="9">
                  <c:v>0.51863879982348959</c:v>
                </c:pt>
                <c:pt idx="10">
                  <c:v>0.51863879982348959</c:v>
                </c:pt>
                <c:pt idx="11">
                  <c:v>0.51863879982348959</c:v>
                </c:pt>
                <c:pt idx="12">
                  <c:v>0.51863879982348959</c:v>
                </c:pt>
                <c:pt idx="13">
                  <c:v>0.51863879982348959</c:v>
                </c:pt>
                <c:pt idx="14">
                  <c:v>0.51863879982348959</c:v>
                </c:pt>
                <c:pt idx="15">
                  <c:v>0.51863879982348959</c:v>
                </c:pt>
                <c:pt idx="16">
                  <c:v>0.51863879982348959</c:v>
                </c:pt>
                <c:pt idx="17">
                  <c:v>0.51863879982348959</c:v>
                </c:pt>
                <c:pt idx="18">
                  <c:v>0.51863879982348959</c:v>
                </c:pt>
                <c:pt idx="19">
                  <c:v>0.51863879982348959</c:v>
                </c:pt>
                <c:pt idx="20">
                  <c:v>0.51863879982348959</c:v>
                </c:pt>
                <c:pt idx="21">
                  <c:v>0.51863879982348959</c:v>
                </c:pt>
                <c:pt idx="22">
                  <c:v>0.51863879982348959</c:v>
                </c:pt>
                <c:pt idx="23">
                  <c:v>0.51863879982348959</c:v>
                </c:pt>
                <c:pt idx="24">
                  <c:v>0.51863879982348959</c:v>
                </c:pt>
                <c:pt idx="25">
                  <c:v>0.51863879982348959</c:v>
                </c:pt>
                <c:pt idx="26">
                  <c:v>0.51863879982348959</c:v>
                </c:pt>
                <c:pt idx="27">
                  <c:v>0.51863879982348959</c:v>
                </c:pt>
                <c:pt idx="28">
                  <c:v>0.51863879982348959</c:v>
                </c:pt>
                <c:pt idx="29">
                  <c:v>0.51863879982348959</c:v>
                </c:pt>
                <c:pt idx="30">
                  <c:v>0.51863879982348959</c:v>
                </c:pt>
                <c:pt idx="31">
                  <c:v>0.51863879982348959</c:v>
                </c:pt>
                <c:pt idx="32">
                  <c:v>0.51863879982348959</c:v>
                </c:pt>
                <c:pt idx="33">
                  <c:v>0.51863879982348959</c:v>
                </c:pt>
                <c:pt idx="34">
                  <c:v>0.51863879982348959</c:v>
                </c:pt>
                <c:pt idx="35">
                  <c:v>0.51863879982348959</c:v>
                </c:pt>
                <c:pt idx="36">
                  <c:v>0.51863879982348959</c:v>
                </c:pt>
                <c:pt idx="37">
                  <c:v>0.51863879982348959</c:v>
                </c:pt>
                <c:pt idx="38">
                  <c:v>0.51863879982348959</c:v>
                </c:pt>
                <c:pt idx="39">
                  <c:v>0.51863879982348959</c:v>
                </c:pt>
                <c:pt idx="40">
                  <c:v>0.51863879982348959</c:v>
                </c:pt>
                <c:pt idx="41">
                  <c:v>0.51863879982348959</c:v>
                </c:pt>
                <c:pt idx="42">
                  <c:v>0.51863879982348959</c:v>
                </c:pt>
                <c:pt idx="43">
                  <c:v>0.51863879982348959</c:v>
                </c:pt>
                <c:pt idx="44">
                  <c:v>0.51863879982348959</c:v>
                </c:pt>
                <c:pt idx="45">
                  <c:v>0.51863879982348959</c:v>
                </c:pt>
                <c:pt idx="46">
                  <c:v>0.51863879982348959</c:v>
                </c:pt>
                <c:pt idx="47">
                  <c:v>0.51863879982348959</c:v>
                </c:pt>
                <c:pt idx="48">
                  <c:v>0.51863879982348959</c:v>
                </c:pt>
                <c:pt idx="49">
                  <c:v>0.51863879982348959</c:v>
                </c:pt>
                <c:pt idx="50">
                  <c:v>0.51863879982348959</c:v>
                </c:pt>
                <c:pt idx="51">
                  <c:v>0.51863879982348959</c:v>
                </c:pt>
                <c:pt idx="52">
                  <c:v>0.51863879982348959</c:v>
                </c:pt>
                <c:pt idx="53">
                  <c:v>0.51863879982348959</c:v>
                </c:pt>
                <c:pt idx="54">
                  <c:v>0.51863879982348959</c:v>
                </c:pt>
                <c:pt idx="55">
                  <c:v>0.51863879982348959</c:v>
                </c:pt>
                <c:pt idx="56">
                  <c:v>0.51863879982348959</c:v>
                </c:pt>
                <c:pt idx="57">
                  <c:v>0.51863879982348959</c:v>
                </c:pt>
                <c:pt idx="58">
                  <c:v>0.51863879982348959</c:v>
                </c:pt>
                <c:pt idx="59">
                  <c:v>0.51863879982348959</c:v>
                </c:pt>
                <c:pt idx="60">
                  <c:v>0.51863879982348959</c:v>
                </c:pt>
                <c:pt idx="61">
                  <c:v>0.51863879982348959</c:v>
                </c:pt>
                <c:pt idx="62">
                  <c:v>0.51863879982348959</c:v>
                </c:pt>
                <c:pt idx="63">
                  <c:v>0.51863879982348959</c:v>
                </c:pt>
                <c:pt idx="64">
                  <c:v>0.51863879982348959</c:v>
                </c:pt>
                <c:pt idx="65">
                  <c:v>0.51863879982348959</c:v>
                </c:pt>
                <c:pt idx="66">
                  <c:v>0.51863879982348959</c:v>
                </c:pt>
                <c:pt idx="67">
                  <c:v>0.51863879982348959</c:v>
                </c:pt>
                <c:pt idx="68">
                  <c:v>0.51863879982348959</c:v>
                </c:pt>
                <c:pt idx="69">
                  <c:v>0.51863879982348959</c:v>
                </c:pt>
                <c:pt idx="70">
                  <c:v>0.51863879982348959</c:v>
                </c:pt>
                <c:pt idx="71">
                  <c:v>0.51863879982348959</c:v>
                </c:pt>
              </c:numCache>
            </c:numRef>
          </c:val>
          <c:extLst>
            <c:ext xmlns:c16="http://schemas.microsoft.com/office/drawing/2014/chart" uri="{C3380CC4-5D6E-409C-BE32-E72D297353CC}">
              <c16:uniqueId val="{00000001-C092-4D9A-A6F0-DE2FFD6191BC}"/>
            </c:ext>
          </c:extLst>
        </c:ser>
        <c:ser>
          <c:idx val="2"/>
          <c:order val="2"/>
          <c:tx>
            <c:strRef>
              <c:f>'Quick Zone Calc'!$E$126</c:f>
              <c:strCache>
                <c:ptCount val="1"/>
                <c:pt idx="0">
                  <c:v>Zone 0 · inside the container</c:v>
                </c:pt>
              </c:strCache>
            </c:strRef>
          </c:tx>
          <c:spPr>
            <a:solidFill>
              <a:srgbClr val="FF7C80"/>
            </a:solidFill>
            <a:ln w="6350">
              <a:solidFill>
                <a:srgbClr val="FFFFFF"/>
              </a:solidFill>
              <a:prstDash val="solid"/>
            </a:ln>
          </c:spPr>
          <c:cat>
            <c:numRef>
              <c:f>'Quick Zone Calc'!$B$127:$B$198</c:f>
              <c:numCache>
                <c:formatCode>0.00</c:formatCode>
                <c:ptCount val="7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pt idx="41">
                  <c:v>205</c:v>
                </c:pt>
                <c:pt idx="42">
                  <c:v>210</c:v>
                </c:pt>
                <c:pt idx="43">
                  <c:v>215</c:v>
                </c:pt>
                <c:pt idx="44">
                  <c:v>220</c:v>
                </c:pt>
                <c:pt idx="45">
                  <c:v>225</c:v>
                </c:pt>
                <c:pt idx="46">
                  <c:v>230</c:v>
                </c:pt>
                <c:pt idx="47">
                  <c:v>235</c:v>
                </c:pt>
                <c:pt idx="48">
                  <c:v>240</c:v>
                </c:pt>
                <c:pt idx="49">
                  <c:v>245</c:v>
                </c:pt>
                <c:pt idx="50">
                  <c:v>250</c:v>
                </c:pt>
                <c:pt idx="51">
                  <c:v>255</c:v>
                </c:pt>
                <c:pt idx="52">
                  <c:v>260</c:v>
                </c:pt>
                <c:pt idx="53">
                  <c:v>265</c:v>
                </c:pt>
                <c:pt idx="54">
                  <c:v>270</c:v>
                </c:pt>
                <c:pt idx="55">
                  <c:v>275</c:v>
                </c:pt>
                <c:pt idx="56">
                  <c:v>280</c:v>
                </c:pt>
                <c:pt idx="57">
                  <c:v>285</c:v>
                </c:pt>
                <c:pt idx="58">
                  <c:v>290</c:v>
                </c:pt>
                <c:pt idx="59">
                  <c:v>295</c:v>
                </c:pt>
                <c:pt idx="60">
                  <c:v>300</c:v>
                </c:pt>
                <c:pt idx="61">
                  <c:v>305</c:v>
                </c:pt>
                <c:pt idx="62">
                  <c:v>310</c:v>
                </c:pt>
                <c:pt idx="63">
                  <c:v>315</c:v>
                </c:pt>
                <c:pt idx="64">
                  <c:v>320</c:v>
                </c:pt>
                <c:pt idx="65">
                  <c:v>325</c:v>
                </c:pt>
                <c:pt idx="66">
                  <c:v>330</c:v>
                </c:pt>
                <c:pt idx="67">
                  <c:v>335</c:v>
                </c:pt>
                <c:pt idx="68">
                  <c:v>340</c:v>
                </c:pt>
                <c:pt idx="69">
                  <c:v>345</c:v>
                </c:pt>
                <c:pt idx="70">
                  <c:v>350</c:v>
                </c:pt>
                <c:pt idx="71">
                  <c:v>355</c:v>
                </c:pt>
              </c:numCache>
            </c:numRef>
          </c:cat>
          <c:val>
            <c:numRef>
              <c:f>'Quick Zone Calc'!$E$127:$E$198</c:f>
              <c:numCache>
                <c:formatCode>0.00</c:formatCode>
                <c:ptCount val="72"/>
                <c:pt idx="0">
                  <c:v>0.3</c:v>
                </c:pt>
                <c:pt idx="1">
                  <c:v>0.3</c:v>
                </c:pt>
                <c:pt idx="2">
                  <c:v>0.3</c:v>
                </c:pt>
                <c:pt idx="3">
                  <c:v>0.3</c:v>
                </c:pt>
                <c:pt idx="4">
                  <c:v>0.3</c:v>
                </c:pt>
                <c:pt idx="5">
                  <c:v>0.3</c:v>
                </c:pt>
                <c:pt idx="6">
                  <c:v>0.3</c:v>
                </c:pt>
                <c:pt idx="7">
                  <c:v>0.3</c:v>
                </c:pt>
                <c:pt idx="8">
                  <c:v>0.3</c:v>
                </c:pt>
                <c:pt idx="9">
                  <c:v>0.3</c:v>
                </c:pt>
                <c:pt idx="10">
                  <c:v>0.3</c:v>
                </c:pt>
                <c:pt idx="11">
                  <c:v>0.3</c:v>
                </c:pt>
                <c:pt idx="12">
                  <c:v>0.3</c:v>
                </c:pt>
                <c:pt idx="13">
                  <c:v>0.3</c:v>
                </c:pt>
                <c:pt idx="14">
                  <c:v>0.3</c:v>
                </c:pt>
                <c:pt idx="15">
                  <c:v>0.3</c:v>
                </c:pt>
                <c:pt idx="16">
                  <c:v>0.3</c:v>
                </c:pt>
                <c:pt idx="17">
                  <c:v>0.3</c:v>
                </c:pt>
                <c:pt idx="18">
                  <c:v>0.3</c:v>
                </c:pt>
                <c:pt idx="19">
                  <c:v>0.3</c:v>
                </c:pt>
                <c:pt idx="20">
                  <c:v>0.3</c:v>
                </c:pt>
                <c:pt idx="21">
                  <c:v>0.3</c:v>
                </c:pt>
                <c:pt idx="22">
                  <c:v>0.3</c:v>
                </c:pt>
                <c:pt idx="23">
                  <c:v>0.3</c:v>
                </c:pt>
                <c:pt idx="24">
                  <c:v>0.3</c:v>
                </c:pt>
                <c:pt idx="25">
                  <c:v>0.3</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0.3</c:v>
                </c:pt>
                <c:pt idx="53">
                  <c:v>0.3</c:v>
                </c:pt>
                <c:pt idx="54">
                  <c:v>0.3</c:v>
                </c:pt>
                <c:pt idx="55">
                  <c:v>0.3</c:v>
                </c:pt>
                <c:pt idx="56">
                  <c:v>0.3</c:v>
                </c:pt>
                <c:pt idx="57">
                  <c:v>0.3</c:v>
                </c:pt>
                <c:pt idx="58">
                  <c:v>0.3</c:v>
                </c:pt>
                <c:pt idx="59">
                  <c:v>0.3</c:v>
                </c:pt>
                <c:pt idx="60">
                  <c:v>0.3</c:v>
                </c:pt>
                <c:pt idx="61">
                  <c:v>0.3</c:v>
                </c:pt>
                <c:pt idx="62">
                  <c:v>0.3</c:v>
                </c:pt>
                <c:pt idx="63">
                  <c:v>0.3</c:v>
                </c:pt>
                <c:pt idx="64">
                  <c:v>0.3</c:v>
                </c:pt>
                <c:pt idx="65">
                  <c:v>0.3</c:v>
                </c:pt>
                <c:pt idx="66">
                  <c:v>0.3</c:v>
                </c:pt>
                <c:pt idx="67">
                  <c:v>0.3</c:v>
                </c:pt>
                <c:pt idx="68">
                  <c:v>0.3</c:v>
                </c:pt>
                <c:pt idx="69">
                  <c:v>0.3</c:v>
                </c:pt>
                <c:pt idx="70">
                  <c:v>0.3</c:v>
                </c:pt>
                <c:pt idx="71">
                  <c:v>0.3</c:v>
                </c:pt>
              </c:numCache>
            </c:numRef>
          </c:val>
          <c:extLst>
            <c:ext xmlns:c16="http://schemas.microsoft.com/office/drawing/2014/chart" uri="{C3380CC4-5D6E-409C-BE32-E72D297353CC}">
              <c16:uniqueId val="{00000002-C092-4D9A-A6F0-DE2FFD6191BC}"/>
            </c:ext>
          </c:extLst>
        </c:ser>
        <c:ser>
          <c:idx val="3"/>
          <c:order val="3"/>
          <c:tx>
            <c:strRef>
              <c:f>'Quick Zone Calc'!$F$126</c:f>
              <c:strCache>
                <c:ptCount val="1"/>
                <c:pt idx="0">
                  <c:v>Point of activity</c:v>
                </c:pt>
              </c:strCache>
            </c:strRef>
          </c:tx>
          <c:spPr>
            <a:solidFill>
              <a:srgbClr val="1F3864"/>
            </a:solidFill>
            <a:ln w="6350">
              <a:solidFill>
                <a:srgbClr val="FFFFFF"/>
              </a:solidFill>
              <a:prstDash val="solid"/>
            </a:ln>
          </c:spPr>
          <c:cat>
            <c:numRef>
              <c:f>'Quick Zone Calc'!$B$127:$B$198</c:f>
              <c:numCache>
                <c:formatCode>0.00</c:formatCode>
                <c:ptCount val="72"/>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pt idx="19">
                  <c:v>95</c:v>
                </c:pt>
                <c:pt idx="20">
                  <c:v>100</c:v>
                </c:pt>
                <c:pt idx="21">
                  <c:v>105</c:v>
                </c:pt>
                <c:pt idx="22">
                  <c:v>110</c:v>
                </c:pt>
                <c:pt idx="23">
                  <c:v>115</c:v>
                </c:pt>
                <c:pt idx="24">
                  <c:v>120</c:v>
                </c:pt>
                <c:pt idx="25">
                  <c:v>125</c:v>
                </c:pt>
                <c:pt idx="26">
                  <c:v>130</c:v>
                </c:pt>
                <c:pt idx="27">
                  <c:v>135</c:v>
                </c:pt>
                <c:pt idx="28">
                  <c:v>140</c:v>
                </c:pt>
                <c:pt idx="29">
                  <c:v>145</c:v>
                </c:pt>
                <c:pt idx="30">
                  <c:v>150</c:v>
                </c:pt>
                <c:pt idx="31">
                  <c:v>155</c:v>
                </c:pt>
                <c:pt idx="32">
                  <c:v>160</c:v>
                </c:pt>
                <c:pt idx="33">
                  <c:v>165</c:v>
                </c:pt>
                <c:pt idx="34">
                  <c:v>170</c:v>
                </c:pt>
                <c:pt idx="35">
                  <c:v>175</c:v>
                </c:pt>
                <c:pt idx="36">
                  <c:v>180</c:v>
                </c:pt>
                <c:pt idx="37">
                  <c:v>185</c:v>
                </c:pt>
                <c:pt idx="38">
                  <c:v>190</c:v>
                </c:pt>
                <c:pt idx="39">
                  <c:v>195</c:v>
                </c:pt>
                <c:pt idx="40">
                  <c:v>200</c:v>
                </c:pt>
                <c:pt idx="41">
                  <c:v>205</c:v>
                </c:pt>
                <c:pt idx="42">
                  <c:v>210</c:v>
                </c:pt>
                <c:pt idx="43">
                  <c:v>215</c:v>
                </c:pt>
                <c:pt idx="44">
                  <c:v>220</c:v>
                </c:pt>
                <c:pt idx="45">
                  <c:v>225</c:v>
                </c:pt>
                <c:pt idx="46">
                  <c:v>230</c:v>
                </c:pt>
                <c:pt idx="47">
                  <c:v>235</c:v>
                </c:pt>
                <c:pt idx="48">
                  <c:v>240</c:v>
                </c:pt>
                <c:pt idx="49">
                  <c:v>245</c:v>
                </c:pt>
                <c:pt idx="50">
                  <c:v>250</c:v>
                </c:pt>
                <c:pt idx="51">
                  <c:v>255</c:v>
                </c:pt>
                <c:pt idx="52">
                  <c:v>260</c:v>
                </c:pt>
                <c:pt idx="53">
                  <c:v>265</c:v>
                </c:pt>
                <c:pt idx="54">
                  <c:v>270</c:v>
                </c:pt>
                <c:pt idx="55">
                  <c:v>275</c:v>
                </c:pt>
                <c:pt idx="56">
                  <c:v>280</c:v>
                </c:pt>
                <c:pt idx="57">
                  <c:v>285</c:v>
                </c:pt>
                <c:pt idx="58">
                  <c:v>290</c:v>
                </c:pt>
                <c:pt idx="59">
                  <c:v>295</c:v>
                </c:pt>
                <c:pt idx="60">
                  <c:v>300</c:v>
                </c:pt>
                <c:pt idx="61">
                  <c:v>305</c:v>
                </c:pt>
                <c:pt idx="62">
                  <c:v>310</c:v>
                </c:pt>
                <c:pt idx="63">
                  <c:v>315</c:v>
                </c:pt>
                <c:pt idx="64">
                  <c:v>320</c:v>
                </c:pt>
                <c:pt idx="65">
                  <c:v>325</c:v>
                </c:pt>
                <c:pt idx="66">
                  <c:v>330</c:v>
                </c:pt>
                <c:pt idx="67">
                  <c:v>335</c:v>
                </c:pt>
                <c:pt idx="68">
                  <c:v>340</c:v>
                </c:pt>
                <c:pt idx="69">
                  <c:v>345</c:v>
                </c:pt>
                <c:pt idx="70">
                  <c:v>350</c:v>
                </c:pt>
                <c:pt idx="71">
                  <c:v>355</c:v>
                </c:pt>
              </c:numCache>
            </c:numRef>
          </c:cat>
          <c:val>
            <c:numRef>
              <c:f>'Quick Zone Calc'!$F$127:$F$198</c:f>
              <c:numCache>
                <c:formatCode>0.00</c:formatCode>
                <c:ptCount val="72"/>
                <c:pt idx="0">
                  <c:v>7.9620121811510944E-2</c:v>
                </c:pt>
                <c:pt idx="1">
                  <c:v>7.9620121811510944E-2</c:v>
                </c:pt>
                <c:pt idx="2">
                  <c:v>7.9620121811510944E-2</c:v>
                </c:pt>
                <c:pt idx="3">
                  <c:v>7.9620121811510944E-2</c:v>
                </c:pt>
                <c:pt idx="4">
                  <c:v>7.9620121811510944E-2</c:v>
                </c:pt>
                <c:pt idx="5">
                  <c:v>7.9620121811510944E-2</c:v>
                </c:pt>
                <c:pt idx="6">
                  <c:v>7.9620121811510944E-2</c:v>
                </c:pt>
                <c:pt idx="7">
                  <c:v>7.9620121811510944E-2</c:v>
                </c:pt>
                <c:pt idx="8">
                  <c:v>7.9620121811510944E-2</c:v>
                </c:pt>
                <c:pt idx="9">
                  <c:v>7.9620121811510944E-2</c:v>
                </c:pt>
                <c:pt idx="10">
                  <c:v>7.9620121811510944E-2</c:v>
                </c:pt>
                <c:pt idx="11">
                  <c:v>7.9620121811510944E-2</c:v>
                </c:pt>
                <c:pt idx="12">
                  <c:v>7.9620121811510944E-2</c:v>
                </c:pt>
                <c:pt idx="13">
                  <c:v>7.9620121811510944E-2</c:v>
                </c:pt>
                <c:pt idx="14">
                  <c:v>7.9620121811510944E-2</c:v>
                </c:pt>
                <c:pt idx="15">
                  <c:v>7.9620121811510944E-2</c:v>
                </c:pt>
                <c:pt idx="16">
                  <c:v>7.9620121811510944E-2</c:v>
                </c:pt>
                <c:pt idx="17">
                  <c:v>7.9620121811510944E-2</c:v>
                </c:pt>
                <c:pt idx="18">
                  <c:v>7.9620121811510944E-2</c:v>
                </c:pt>
                <c:pt idx="19">
                  <c:v>7.9620121811510944E-2</c:v>
                </c:pt>
                <c:pt idx="20">
                  <c:v>7.9620121811510944E-2</c:v>
                </c:pt>
                <c:pt idx="21">
                  <c:v>7.9620121811510944E-2</c:v>
                </c:pt>
                <c:pt idx="22">
                  <c:v>7.9620121811510944E-2</c:v>
                </c:pt>
                <c:pt idx="23">
                  <c:v>7.9620121811510944E-2</c:v>
                </c:pt>
                <c:pt idx="24">
                  <c:v>7.9620121811510944E-2</c:v>
                </c:pt>
                <c:pt idx="25">
                  <c:v>7.9620121811510944E-2</c:v>
                </c:pt>
                <c:pt idx="26">
                  <c:v>7.9620121811510944E-2</c:v>
                </c:pt>
                <c:pt idx="27">
                  <c:v>7.9620121811510944E-2</c:v>
                </c:pt>
                <c:pt idx="28">
                  <c:v>7.9620121811510944E-2</c:v>
                </c:pt>
                <c:pt idx="29">
                  <c:v>7.9620121811510944E-2</c:v>
                </c:pt>
                <c:pt idx="30">
                  <c:v>7.9620121811510944E-2</c:v>
                </c:pt>
                <c:pt idx="31">
                  <c:v>7.9620121811510944E-2</c:v>
                </c:pt>
                <c:pt idx="32">
                  <c:v>7.9620121811510944E-2</c:v>
                </c:pt>
                <c:pt idx="33">
                  <c:v>7.9620121811510944E-2</c:v>
                </c:pt>
                <c:pt idx="34">
                  <c:v>7.9620121811510944E-2</c:v>
                </c:pt>
                <c:pt idx="35">
                  <c:v>7.9620121811510944E-2</c:v>
                </c:pt>
                <c:pt idx="36">
                  <c:v>7.9620121811510944E-2</c:v>
                </c:pt>
                <c:pt idx="37">
                  <c:v>7.9620121811510944E-2</c:v>
                </c:pt>
                <c:pt idx="38">
                  <c:v>7.9620121811510944E-2</c:v>
                </c:pt>
                <c:pt idx="39">
                  <c:v>7.9620121811510944E-2</c:v>
                </c:pt>
                <c:pt idx="40">
                  <c:v>7.9620121811510944E-2</c:v>
                </c:pt>
                <c:pt idx="41">
                  <c:v>7.9620121811510944E-2</c:v>
                </c:pt>
                <c:pt idx="42">
                  <c:v>7.9620121811510944E-2</c:v>
                </c:pt>
                <c:pt idx="43">
                  <c:v>7.9620121811510944E-2</c:v>
                </c:pt>
                <c:pt idx="44">
                  <c:v>7.9620121811510944E-2</c:v>
                </c:pt>
                <c:pt idx="45">
                  <c:v>7.9620121811510944E-2</c:v>
                </c:pt>
                <c:pt idx="46">
                  <c:v>7.9620121811510944E-2</c:v>
                </c:pt>
                <c:pt idx="47">
                  <c:v>7.9620121811510944E-2</c:v>
                </c:pt>
                <c:pt idx="48">
                  <c:v>7.9620121811510944E-2</c:v>
                </c:pt>
                <c:pt idx="49">
                  <c:v>7.9620121811510944E-2</c:v>
                </c:pt>
                <c:pt idx="50">
                  <c:v>7.9620121811510944E-2</c:v>
                </c:pt>
                <c:pt idx="51">
                  <c:v>7.9620121811510944E-2</c:v>
                </c:pt>
                <c:pt idx="52">
                  <c:v>7.9620121811510944E-2</c:v>
                </c:pt>
                <c:pt idx="53">
                  <c:v>7.9620121811510944E-2</c:v>
                </c:pt>
                <c:pt idx="54">
                  <c:v>7.9620121811510944E-2</c:v>
                </c:pt>
                <c:pt idx="55">
                  <c:v>7.9620121811510944E-2</c:v>
                </c:pt>
                <c:pt idx="56">
                  <c:v>7.9620121811510944E-2</c:v>
                </c:pt>
                <c:pt idx="57">
                  <c:v>7.9620121811510944E-2</c:v>
                </c:pt>
                <c:pt idx="58">
                  <c:v>7.9620121811510944E-2</c:v>
                </c:pt>
                <c:pt idx="59">
                  <c:v>7.9620121811510944E-2</c:v>
                </c:pt>
                <c:pt idx="60">
                  <c:v>7.9620121811510944E-2</c:v>
                </c:pt>
                <c:pt idx="61">
                  <c:v>7.9620121811510944E-2</c:v>
                </c:pt>
                <c:pt idx="62">
                  <c:v>7.9620121811510944E-2</c:v>
                </c:pt>
                <c:pt idx="63">
                  <c:v>7.9620121811510944E-2</c:v>
                </c:pt>
                <c:pt idx="64">
                  <c:v>7.9620121811510944E-2</c:v>
                </c:pt>
                <c:pt idx="65">
                  <c:v>7.9620121811510944E-2</c:v>
                </c:pt>
                <c:pt idx="66">
                  <c:v>7.9620121811510944E-2</c:v>
                </c:pt>
                <c:pt idx="67">
                  <c:v>7.9620121811510944E-2</c:v>
                </c:pt>
                <c:pt idx="68">
                  <c:v>7.9620121811510944E-2</c:v>
                </c:pt>
                <c:pt idx="69">
                  <c:v>7.9620121811510944E-2</c:v>
                </c:pt>
                <c:pt idx="70">
                  <c:v>7.9620121811510944E-2</c:v>
                </c:pt>
                <c:pt idx="71">
                  <c:v>7.9620121811510944E-2</c:v>
                </c:pt>
              </c:numCache>
            </c:numRef>
          </c:val>
          <c:extLst>
            <c:ext xmlns:c16="http://schemas.microsoft.com/office/drawing/2014/chart" uri="{C3380CC4-5D6E-409C-BE32-E72D297353CC}">
              <c16:uniqueId val="{00000003-C092-4D9A-A6F0-DE2FFD6191BC}"/>
            </c:ext>
          </c:extLst>
        </c:ser>
        <c:dLbls>
          <c:showLegendKey val="0"/>
          <c:showVal val="0"/>
          <c:showCatName val="0"/>
          <c:showSerName val="0"/>
          <c:showPercent val="0"/>
          <c:showBubbleSize val="0"/>
        </c:dLbls>
        <c:axId val="10"/>
        <c:axId val="100"/>
      </c:radarChart>
      <c:catAx>
        <c:axId val="10"/>
        <c:scaling>
          <c:orientation val="minMax"/>
        </c:scaling>
        <c:delete val="1"/>
        <c:axPos val="b"/>
        <c:numFmt formatCode="0.00" sourceLinked="1"/>
        <c:majorTickMark val="none"/>
        <c:minorTickMark val="none"/>
        <c:tickLblPos val="nextTo"/>
        <c:crossAx val="100"/>
        <c:crosses val="autoZero"/>
        <c:auto val="1"/>
        <c:lblAlgn val="ctr"/>
        <c:lblOffset val="100"/>
        <c:noMultiLvlLbl val="1"/>
      </c:catAx>
      <c:valAx>
        <c:axId val="100"/>
        <c:scaling>
          <c:orientation val="minMax"/>
          <c:min val="0"/>
        </c:scaling>
        <c:delete val="0"/>
        <c:axPos val="l"/>
        <c:majorGridlines>
          <c:spPr>
            <a:ln w="6350">
              <a:solidFill>
                <a:srgbClr val="DCE2EB"/>
              </a:solidFill>
              <a:prstDash val="solid"/>
            </a:ln>
          </c:spPr>
        </c:majorGridlines>
        <c:numFmt formatCode="0.0#&quot; m&quot;;;" sourceLinked="0"/>
        <c:majorTickMark val="none"/>
        <c:minorTickMark val="none"/>
        <c:tickLblPos val="nextTo"/>
        <c:spPr>
          <a:ln>
            <a:noFill/>
            <a:prstDash val="solid"/>
          </a:ln>
        </c:spPr>
        <c:txPr>
          <a:bodyPr/>
          <a:lstStyle/>
          <a:p>
            <a:pPr>
              <a:defRPr sz="800">
                <a:solidFill>
                  <a:srgbClr val="5B6577"/>
                </a:solidFill>
                <a:latin typeface="Aptos"/>
              </a:defRPr>
            </a:pPr>
            <a:endParaRPr lang="en-US"/>
          </a:p>
        </c:txPr>
        <c:crossAx val="10"/>
        <c:crosses val="autoZero"/>
        <c:crossBetween val="between"/>
      </c:valAx>
    </c:plotArea>
    <c:legend>
      <c:legendPos val="r"/>
      <c:overlay val="1"/>
      <c:txPr>
        <a:bodyPr/>
        <a:lstStyle/>
        <a:p>
          <a:pPr>
            <a:defRPr sz="900">
              <a:solidFill>
                <a:srgbClr val="1B2333"/>
              </a:solidFill>
              <a:latin typeface="Aptos"/>
            </a:defRPr>
          </a:pPr>
          <a:endParaRPr lang="en-US"/>
        </a:p>
      </c:txPr>
    </c:legend>
    <c:plotVisOnly val="1"/>
    <c:dispBlanksAs val="gap"/>
    <c:showDLblsOverMax val="1"/>
  </c:chart>
  <c:spPr>
    <a:solidFill>
      <a:srgbClr val="FFFFFF"/>
    </a:solidFill>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0</xdr:colOff>
      <xdr:row>17</xdr:row>
      <xdr:rowOff>0</xdr:rowOff>
    </xdr:from>
    <xdr:ext cx="4464000" cy="3456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A1:K55"/>
  <sheetViews>
    <sheetView showGridLines="0" tabSelected="1" zoomScale="90" workbookViewId="0">
      <selection activeCell="C6" sqref="C6"/>
    </sheetView>
  </sheetViews>
  <sheetFormatPr defaultRowHeight="14.5" x14ac:dyDescent="0.35"/>
  <cols>
    <col min="1" max="1" width="2.453125" customWidth="1"/>
    <col min="2" max="2" width="32" customWidth="1"/>
    <col min="3" max="3" width="29" customWidth="1"/>
    <col min="4" max="4" width="31" customWidth="1"/>
    <col min="5" max="5" width="2.453125" customWidth="1"/>
    <col min="6" max="6" width="12" customWidth="1"/>
    <col min="7" max="7" width="15" customWidth="1"/>
    <col min="8" max="9" width="13" customWidth="1"/>
    <col min="10" max="10" width="17" customWidth="1"/>
    <col min="11" max="11" width="2.453125" customWidth="1"/>
  </cols>
  <sheetData>
    <row r="1" spans="1:11" ht="8" customHeight="1" x14ac:dyDescent="0.35">
      <c r="A1" s="1"/>
      <c r="B1" s="1"/>
      <c r="C1" s="1"/>
      <c r="D1" s="1"/>
      <c r="E1" s="1"/>
      <c r="F1" s="1"/>
      <c r="G1" s="1"/>
      <c r="H1" s="1"/>
      <c r="I1" s="1"/>
      <c r="J1" s="1"/>
      <c r="K1" s="1"/>
    </row>
    <row r="2" spans="1:11" ht="36" customHeight="1" x14ac:dyDescent="0.35">
      <c r="A2" s="1"/>
      <c r="B2" s="2" t="s">
        <v>0</v>
      </c>
      <c r="C2" s="3"/>
      <c r="D2" s="3"/>
      <c r="E2" s="3"/>
      <c r="F2" s="154" t="s">
        <v>1</v>
      </c>
      <c r="G2" s="137"/>
      <c r="H2" s="137"/>
      <c r="I2" s="137"/>
      <c r="J2" s="137"/>
      <c r="K2" s="1"/>
    </row>
    <row r="3" spans="1:11" ht="22" customHeight="1" x14ac:dyDescent="0.35">
      <c r="A3" s="1"/>
      <c r="B3" s="166" t="s">
        <v>2</v>
      </c>
      <c r="C3" s="137"/>
      <c r="D3" s="137"/>
      <c r="E3" s="137"/>
      <c r="F3" s="137"/>
      <c r="G3" s="137"/>
      <c r="H3" s="137"/>
      <c r="I3" s="137"/>
      <c r="J3" s="137"/>
      <c r="K3" s="1"/>
    </row>
    <row r="4" spans="1:11" ht="10" customHeight="1" x14ac:dyDescent="0.35">
      <c r="A4" s="1"/>
      <c r="B4" s="1"/>
      <c r="C4" s="1"/>
      <c r="D4" s="1"/>
      <c r="E4" s="1"/>
      <c r="F4" s="1"/>
      <c r="G4" s="1"/>
      <c r="H4" s="1"/>
      <c r="I4" s="1"/>
      <c r="J4" s="1"/>
      <c r="K4" s="1"/>
    </row>
    <row r="5" spans="1:11" ht="26" customHeight="1" x14ac:dyDescent="0.35">
      <c r="A5" s="1"/>
      <c r="B5" s="4" t="s">
        <v>3</v>
      </c>
      <c r="C5" s="5"/>
      <c r="D5" s="6"/>
      <c r="E5" s="1"/>
      <c r="F5" s="4" t="s">
        <v>4</v>
      </c>
      <c r="G5" s="5"/>
      <c r="H5" s="5"/>
      <c r="I5" s="5"/>
      <c r="J5" s="6"/>
      <c r="K5" s="1"/>
    </row>
    <row r="6" spans="1:11" ht="23" customHeight="1" x14ac:dyDescent="0.35">
      <c r="A6" s="1"/>
      <c r="B6" s="7" t="s">
        <v>5</v>
      </c>
      <c r="C6" s="8" t="s">
        <v>6</v>
      </c>
      <c r="D6" s="9" t="s">
        <v>7</v>
      </c>
      <c r="E6" s="1"/>
      <c r="F6" s="146" t="str">
        <f>IF(QZ_Substance="","Choose a substance",QZ_Headline)</f>
        <v>Zone 0, Zone 1 and Zone 2</v>
      </c>
      <c r="G6" s="137"/>
      <c r="H6" s="137"/>
      <c r="I6" s="137"/>
      <c r="J6" s="141"/>
      <c r="K6" s="1"/>
    </row>
    <row r="7" spans="1:11" ht="23" customHeight="1" x14ac:dyDescent="0.35">
      <c r="A7" s="1"/>
      <c r="B7" s="7" t="s">
        <v>8</v>
      </c>
      <c r="C7" s="10">
        <v>25</v>
      </c>
      <c r="D7" s="9" t="str">
        <f>IF(QZ_Phase="Gas","kg of gas in the system","litres handled in one go")</f>
        <v>litres handled in one go</v>
      </c>
      <c r="E7" s="1"/>
      <c r="F7" s="148" t="str">
        <f>QZ_Subline</f>
        <v>Toluene · 25 litres · decanting / filling / sampling · indoors</v>
      </c>
      <c r="G7" s="137"/>
      <c r="H7" s="137"/>
      <c r="I7" s="137"/>
      <c r="J7" s="141"/>
      <c r="K7" s="1"/>
    </row>
    <row r="8" spans="1:11" ht="23" customHeight="1" x14ac:dyDescent="0.35">
      <c r="A8" s="1"/>
      <c r="B8" s="7" t="s">
        <v>9</v>
      </c>
      <c r="C8" s="8" t="s">
        <v>10</v>
      </c>
      <c r="D8" s="9" t="s">
        <v>11</v>
      </c>
      <c r="E8" s="1"/>
      <c r="F8" s="11" t="s">
        <v>12</v>
      </c>
      <c r="G8" s="147" t="s">
        <v>13</v>
      </c>
      <c r="H8" s="139"/>
      <c r="I8" s="160" t="s">
        <v>14</v>
      </c>
      <c r="J8" s="145"/>
      <c r="K8" s="1"/>
    </row>
    <row r="9" spans="1:11" ht="26" customHeight="1" x14ac:dyDescent="0.35">
      <c r="A9" s="1"/>
      <c r="B9" s="7" t="s">
        <v>15</v>
      </c>
      <c r="C9" s="8" t="s">
        <v>16</v>
      </c>
      <c r="D9" s="9"/>
      <c r="E9" s="1"/>
      <c r="F9" s="158" t="s">
        <v>17</v>
      </c>
      <c r="G9" s="136" t="str">
        <f>QZ_Z0Text</f>
        <v>Inside the container</v>
      </c>
      <c r="H9" s="137"/>
      <c r="I9" s="140" t="str">
        <f>QZ_EPL0</f>
        <v>Ga</v>
      </c>
      <c r="J9" s="141"/>
      <c r="K9" s="1"/>
    </row>
    <row r="10" spans="1:11" ht="25" customHeight="1" x14ac:dyDescent="0.35">
      <c r="A10" s="1"/>
      <c r="B10" s="7" t="s">
        <v>18</v>
      </c>
      <c r="C10" s="12">
        <v>20</v>
      </c>
      <c r="D10" s="9" t="s">
        <v>19</v>
      </c>
      <c r="E10" s="1"/>
      <c r="F10" s="159"/>
      <c r="G10" s="149" t="str">
        <f>QZ_Basis0</f>
        <v>Vapour space inside the receiving container.</v>
      </c>
      <c r="H10" s="139"/>
      <c r="I10" s="139"/>
      <c r="J10" s="145"/>
      <c r="K10" s="1"/>
    </row>
    <row r="11" spans="1:11" ht="26" customHeight="1" x14ac:dyDescent="0.35">
      <c r="A11" s="1"/>
      <c r="B11" s="7" t="s">
        <v>20</v>
      </c>
      <c r="C11" s="12">
        <v>10</v>
      </c>
      <c r="D11" s="9" t="s">
        <v>21</v>
      </c>
      <c r="E11" s="1"/>
      <c r="F11" s="161" t="s">
        <v>22</v>
      </c>
      <c r="G11" s="136" t="str">
        <f>QZ_Z1Text</f>
        <v>0.52 m</v>
      </c>
      <c r="H11" s="137"/>
      <c r="I11" s="140" t="str">
        <f>QZ_EPL1</f>
        <v>Gb</v>
      </c>
      <c r="J11" s="141"/>
      <c r="K11" s="1"/>
    </row>
    <row r="12" spans="1:11" ht="25" customHeight="1" x14ac:dyDescent="0.35">
      <c r="A12" s="1"/>
      <c r="B12" s="7" t="s">
        <v>23</v>
      </c>
      <c r="C12" s="13">
        <v>100</v>
      </c>
      <c r="D12" s="9" t="s">
        <v>24</v>
      </c>
      <c r="E12" s="1"/>
      <c r="F12" s="162"/>
      <c r="G12" s="149" t="str">
        <f>QZ_Basis1</f>
        <v>Vapour pushed out of the container mouth while filling. Limited by the amount handled.</v>
      </c>
      <c r="H12" s="139"/>
      <c r="I12" s="139"/>
      <c r="J12" s="145"/>
      <c r="K12" s="1"/>
    </row>
    <row r="13" spans="1:11" ht="26" customHeight="1" x14ac:dyDescent="0.35">
      <c r="A13" s="1"/>
      <c r="B13" s="7" t="s">
        <v>25</v>
      </c>
      <c r="C13" s="14">
        <v>3</v>
      </c>
      <c r="D13" s="9" t="s">
        <v>26</v>
      </c>
      <c r="E13" s="1"/>
      <c r="F13" s="155" t="s">
        <v>27</v>
      </c>
      <c r="G13" s="136" t="str">
        <f>QZ_Z2Text</f>
        <v>2.65 m</v>
      </c>
      <c r="H13" s="137"/>
      <c r="I13" s="140" t="str">
        <f>QZ_EPL2</f>
        <v>Gc</v>
      </c>
      <c r="J13" s="141"/>
      <c r="K13" s="1"/>
    </row>
    <row r="14" spans="1:11" ht="25" customHeight="1" x14ac:dyDescent="0.35">
      <c r="A14" s="1"/>
      <c r="B14" s="7" t="s">
        <v>28</v>
      </c>
      <c r="C14" s="8" t="s">
        <v>29</v>
      </c>
      <c r="D14" s="9" t="s">
        <v>30</v>
      </c>
      <c r="E14" s="1"/>
      <c r="F14" s="156"/>
      <c r="G14" s="149" t="str">
        <f>QZ_Basis2</f>
        <v>Spill of the full amount.</v>
      </c>
      <c r="H14" s="139"/>
      <c r="I14" s="139"/>
      <c r="J14" s="145"/>
      <c r="K14" s="1"/>
    </row>
    <row r="15" spans="1:11" ht="23" customHeight="1" x14ac:dyDescent="0.35">
      <c r="A15" s="1"/>
      <c r="B15" s="15" t="s">
        <v>31</v>
      </c>
      <c r="C15" s="16">
        <v>0.5</v>
      </c>
      <c r="D15" s="17" t="s">
        <v>32</v>
      </c>
      <c r="E15" s="1"/>
      <c r="F15" s="11" t="s">
        <v>33</v>
      </c>
      <c r="G15" s="168" t="str">
        <f>QZ_Equip</f>
        <v>Gas group IIA · temperature class T1 or better · AIT 480 °C</v>
      </c>
      <c r="H15" s="152"/>
      <c r="I15" s="152"/>
      <c r="J15" s="153"/>
      <c r="K15" s="1"/>
    </row>
    <row r="16" spans="1:11" ht="12" customHeight="1" x14ac:dyDescent="0.35">
      <c r="A16" s="1"/>
      <c r="B16" s="1"/>
      <c r="C16" s="1"/>
      <c r="D16" s="1"/>
      <c r="E16" s="1"/>
      <c r="F16" s="1"/>
      <c r="G16" s="1"/>
      <c r="H16" s="1"/>
      <c r="I16" s="1"/>
      <c r="J16" s="1"/>
      <c r="K16" s="1"/>
    </row>
    <row r="17" spans="1:11" ht="26" customHeight="1" x14ac:dyDescent="0.35">
      <c r="A17" s="1"/>
      <c r="B17" s="4" t="s">
        <v>34</v>
      </c>
      <c r="C17" s="5"/>
      <c r="D17" s="6"/>
      <c r="E17" s="1"/>
      <c r="F17" s="4" t="s">
        <v>35</v>
      </c>
      <c r="G17" s="5"/>
      <c r="H17" s="5"/>
      <c r="I17" s="5"/>
      <c r="J17" s="6"/>
      <c r="K17" s="1"/>
    </row>
    <row r="18" spans="1:11" ht="21" customHeight="1" x14ac:dyDescent="0.35">
      <c r="A18" s="1"/>
      <c r="B18" s="7" t="s">
        <v>36</v>
      </c>
      <c r="C18" s="12">
        <v>5</v>
      </c>
      <c r="D18" s="9" t="s">
        <v>37</v>
      </c>
      <c r="E18" s="1"/>
      <c r="F18" s="18"/>
      <c r="G18" s="19"/>
      <c r="H18" s="19"/>
      <c r="I18" s="19"/>
      <c r="J18" s="20"/>
      <c r="K18" s="1"/>
    </row>
    <row r="19" spans="1:11" ht="21" customHeight="1" x14ac:dyDescent="0.35">
      <c r="A19" s="1"/>
      <c r="B19" s="7" t="s">
        <v>38</v>
      </c>
      <c r="C19" s="21"/>
      <c r="D19" s="9" t="s">
        <v>39</v>
      </c>
      <c r="E19" s="1"/>
      <c r="F19" s="18"/>
      <c r="G19" s="19"/>
      <c r="H19" s="19"/>
      <c r="I19" s="19"/>
      <c r="J19" s="20"/>
      <c r="K19" s="1"/>
    </row>
    <row r="20" spans="1:11" ht="21" customHeight="1" x14ac:dyDescent="0.35">
      <c r="A20" s="1"/>
      <c r="B20" s="7" t="s">
        <v>40</v>
      </c>
      <c r="C20" s="22">
        <v>0.01</v>
      </c>
      <c r="D20" s="9" t="s">
        <v>41</v>
      </c>
      <c r="E20" s="1"/>
      <c r="F20" s="18"/>
      <c r="G20" s="19"/>
      <c r="H20" s="19"/>
      <c r="I20" s="19"/>
      <c r="J20" s="20"/>
      <c r="K20" s="1"/>
    </row>
    <row r="21" spans="1:11" ht="21" customHeight="1" x14ac:dyDescent="0.35">
      <c r="A21" s="1"/>
      <c r="B21" s="7" t="s">
        <v>42</v>
      </c>
      <c r="C21" s="22">
        <v>0.1</v>
      </c>
      <c r="D21" s="9" t="s">
        <v>43</v>
      </c>
      <c r="E21" s="1"/>
      <c r="F21" s="18"/>
      <c r="G21" s="19"/>
      <c r="H21" s="19"/>
      <c r="I21" s="19"/>
      <c r="J21" s="20"/>
      <c r="K21" s="1"/>
    </row>
    <row r="22" spans="1:11" ht="21" customHeight="1" x14ac:dyDescent="0.35">
      <c r="A22" s="1"/>
      <c r="B22" s="7" t="s">
        <v>44</v>
      </c>
      <c r="C22" s="21">
        <v>0.2</v>
      </c>
      <c r="D22" s="9" t="s">
        <v>45</v>
      </c>
      <c r="E22" s="1"/>
      <c r="F22" s="18"/>
      <c r="G22" s="19"/>
      <c r="H22" s="19"/>
      <c r="I22" s="19"/>
      <c r="J22" s="20"/>
      <c r="K22" s="1"/>
    </row>
    <row r="23" spans="1:11" ht="21" customHeight="1" x14ac:dyDescent="0.35">
      <c r="A23" s="1"/>
      <c r="B23" s="7" t="s">
        <v>46</v>
      </c>
      <c r="C23" s="12">
        <v>20</v>
      </c>
      <c r="D23" s="9" t="s">
        <v>47</v>
      </c>
      <c r="E23" s="1"/>
      <c r="F23" s="18"/>
      <c r="G23" s="19"/>
      <c r="H23" s="19"/>
      <c r="I23" s="19"/>
      <c r="J23" s="20"/>
      <c r="K23" s="1"/>
    </row>
    <row r="24" spans="1:11" ht="21" customHeight="1" x14ac:dyDescent="0.35">
      <c r="A24" s="1"/>
      <c r="B24" s="7" t="s">
        <v>48</v>
      </c>
      <c r="C24" s="21">
        <v>0.3</v>
      </c>
      <c r="D24" s="9"/>
      <c r="E24" s="1"/>
      <c r="F24" s="18"/>
      <c r="G24" s="19"/>
      <c r="H24" s="19"/>
      <c r="I24" s="19"/>
      <c r="J24" s="20"/>
      <c r="K24" s="1"/>
    </row>
    <row r="25" spans="1:11" ht="21" customHeight="1" x14ac:dyDescent="0.35">
      <c r="A25" s="1"/>
      <c r="B25" s="7" t="s">
        <v>49</v>
      </c>
      <c r="C25" s="21">
        <v>0.5</v>
      </c>
      <c r="D25" s="9"/>
      <c r="E25" s="1"/>
      <c r="F25" s="18"/>
      <c r="G25" s="19"/>
      <c r="H25" s="19"/>
      <c r="I25" s="19"/>
      <c r="J25" s="20"/>
      <c r="K25" s="1"/>
    </row>
    <row r="26" spans="1:11" ht="21" customHeight="1" x14ac:dyDescent="0.35">
      <c r="A26" s="1"/>
      <c r="B26" s="7" t="s">
        <v>50</v>
      </c>
      <c r="C26" s="12">
        <v>2</v>
      </c>
      <c r="D26" s="9" t="s">
        <v>51</v>
      </c>
      <c r="E26" s="1"/>
      <c r="F26" s="18"/>
      <c r="G26" s="19"/>
      <c r="H26" s="19"/>
      <c r="I26" s="19"/>
      <c r="J26" s="20"/>
      <c r="K26" s="1"/>
    </row>
    <row r="27" spans="1:11" ht="21" customHeight="1" x14ac:dyDescent="0.35">
      <c r="A27" s="1"/>
      <c r="B27" s="7" t="s">
        <v>52</v>
      </c>
      <c r="C27" s="12">
        <v>1</v>
      </c>
      <c r="D27" s="9"/>
      <c r="E27" s="1"/>
      <c r="F27" s="18"/>
      <c r="G27" s="19"/>
      <c r="H27" s="19"/>
      <c r="I27" s="19"/>
      <c r="J27" s="20"/>
      <c r="K27" s="1"/>
    </row>
    <row r="28" spans="1:11" ht="21" customHeight="1" x14ac:dyDescent="0.35">
      <c r="A28" s="1"/>
      <c r="B28" s="7" t="s">
        <v>53</v>
      </c>
      <c r="C28" s="21">
        <v>0.25</v>
      </c>
      <c r="D28" s="9" t="s">
        <v>54</v>
      </c>
      <c r="E28" s="1"/>
      <c r="F28" s="18"/>
      <c r="G28" s="19"/>
      <c r="H28" s="19"/>
      <c r="I28" s="19"/>
      <c r="J28" s="20"/>
      <c r="K28" s="1"/>
    </row>
    <row r="29" spans="1:11" ht="21" customHeight="1" x14ac:dyDescent="0.35">
      <c r="A29" s="1"/>
      <c r="B29" s="7" t="s">
        <v>55</v>
      </c>
      <c r="C29" s="21">
        <v>0.75</v>
      </c>
      <c r="D29" s="9"/>
      <c r="E29" s="1"/>
      <c r="F29" s="18"/>
      <c r="G29" s="19"/>
      <c r="H29" s="19"/>
      <c r="I29" s="19"/>
      <c r="J29" s="20"/>
      <c r="K29" s="1"/>
    </row>
    <row r="30" spans="1:11" ht="21" customHeight="1" x14ac:dyDescent="0.35">
      <c r="A30" s="1"/>
      <c r="B30" s="7" t="s">
        <v>56</v>
      </c>
      <c r="C30" s="23">
        <v>5</v>
      </c>
      <c r="D30" s="9" t="s">
        <v>57</v>
      </c>
      <c r="E30" s="1"/>
      <c r="F30" s="18"/>
      <c r="G30" s="19"/>
      <c r="H30" s="19"/>
      <c r="I30" s="19"/>
      <c r="J30" s="20"/>
      <c r="K30" s="1"/>
    </row>
    <row r="31" spans="1:11" ht="21" customHeight="1" x14ac:dyDescent="0.35">
      <c r="A31" s="1"/>
      <c r="B31" s="15" t="s">
        <v>58</v>
      </c>
      <c r="C31" s="24" t="str">
        <f>TEXT(Tables!$B$15,"0.00")&amp;" / "&amp;TEXT(Tables!$B$16,"0.00")&amp;" / "&amp;TEXT(Tables!$B$17,"0.00")</f>
        <v>0.25 / 0.25 / 0.50</v>
      </c>
      <c r="D31" s="17" t="s">
        <v>59</v>
      </c>
      <c r="E31" s="1"/>
      <c r="F31" s="18"/>
      <c r="G31" s="19"/>
      <c r="H31" s="19"/>
      <c r="I31" s="19"/>
      <c r="J31" s="20"/>
      <c r="K31" s="1"/>
    </row>
    <row r="32" spans="1:11" ht="21" customHeight="1" x14ac:dyDescent="0.35">
      <c r="A32" s="1"/>
      <c r="B32" s="1"/>
      <c r="C32" s="1"/>
      <c r="D32" s="1"/>
      <c r="E32" s="1"/>
      <c r="F32" s="151" t="s">
        <v>60</v>
      </c>
      <c r="G32" s="152"/>
      <c r="H32" s="152"/>
      <c r="I32" s="152"/>
      <c r="J32" s="153"/>
      <c r="K32" s="1"/>
    </row>
    <row r="33" spans="1:11" ht="12" customHeight="1" x14ac:dyDescent="0.35">
      <c r="A33" s="1"/>
      <c r="B33" s="1"/>
      <c r="C33" s="1"/>
      <c r="D33" s="1"/>
      <c r="E33" s="1"/>
      <c r="F33" s="1"/>
      <c r="G33" s="1"/>
      <c r="H33" s="1"/>
      <c r="I33" s="1"/>
      <c r="J33" s="1"/>
      <c r="K33" s="1"/>
    </row>
    <row r="34" spans="1:11" ht="26" customHeight="1" x14ac:dyDescent="0.35">
      <c r="A34" s="1"/>
      <c r="B34" s="4" t="s">
        <v>61</v>
      </c>
      <c r="C34" s="5"/>
      <c r="D34" s="5"/>
      <c r="E34" s="5"/>
      <c r="F34" s="5"/>
      <c r="G34" s="5"/>
      <c r="H34" s="5"/>
      <c r="I34" s="5"/>
      <c r="J34" s="6"/>
      <c r="K34" s="1"/>
    </row>
    <row r="35" spans="1:11" ht="22" customHeight="1" x14ac:dyDescent="0.35">
      <c r="A35" s="1"/>
      <c r="B35" s="25" t="s">
        <v>62</v>
      </c>
      <c r="C35" s="142" t="s">
        <v>63</v>
      </c>
      <c r="D35" s="143"/>
      <c r="E35" s="27"/>
      <c r="F35" s="28" t="s">
        <v>64</v>
      </c>
      <c r="G35" s="26" t="s">
        <v>65</v>
      </c>
      <c r="H35" s="28" t="s">
        <v>66</v>
      </c>
      <c r="I35" s="164" t="s">
        <v>67</v>
      </c>
      <c r="J35" s="165"/>
      <c r="K35" s="1"/>
    </row>
    <row r="36" spans="1:11" ht="22" customHeight="1" x14ac:dyDescent="0.35">
      <c r="A36" s="1"/>
      <c r="B36" s="30" t="s">
        <v>68</v>
      </c>
      <c r="C36" s="138" t="str">
        <f>IF(OR(QZ_Substance="",QZ_Sel=""),"",INDEX(QZ_SrcText,(QZ_Sel-1)*3+1))</f>
        <v>Vapour space inside the receiving container</v>
      </c>
      <c r="D36" s="139"/>
      <c r="E36" s="32"/>
      <c r="F36" s="33" t="str">
        <f>IF(OR(QZ_Substance="",QZ_Sel=""),"",IFERROR(INDEX(QZ_SrcRate,(QZ_Sel-1)*3+1)*1000,"–"))</f>
        <v>–</v>
      </c>
      <c r="G36" s="31" t="str">
        <f>IF(OR(QZ_Substance="",QZ_Sel=""),"",INDEX(QZ_SrcDeg,(QZ_Sel-1)*3+1))</f>
        <v>–</v>
      </c>
      <c r="H36" s="34" t="str">
        <f>IF(OR(QZ_Substance="",QZ_Sel=""),"",INDEX(QZ_SrcVz,(QZ_Sel-1)*3+1))</f>
        <v>–</v>
      </c>
      <c r="I36" s="144" t="str">
        <f>IF(OR(QZ_Substance="",QZ_Sel=""),"",IF(NOT(INDEX(QZ_SrcApplies,(QZ_Sel-1)*3+1)),IF(QZ_IsGas,"None: no air inside","None: below flash point"),IF(NOT(INDEX(QZ_SrcSized,(QZ_Sel-1)*3+1)),"Zone 0 inside only",INDEX(QZ_SrcD1,(QZ_Sel-1)*3+1))))</f>
        <v>Zone 0 inside only</v>
      </c>
      <c r="J36" s="145"/>
      <c r="K36" s="1"/>
    </row>
    <row r="37" spans="1:11" ht="22" customHeight="1" x14ac:dyDescent="0.35">
      <c r="A37" s="1"/>
      <c r="B37" s="30" t="s">
        <v>69</v>
      </c>
      <c r="C37" s="138" t="str">
        <f>IF(OR(QZ_Substance="",QZ_Sel=""),"",INDEX(QZ_SrcText,(QZ_Sel-1)*3+2))</f>
        <v>Vapour pushed out of the container mouth while filling</v>
      </c>
      <c r="D37" s="139"/>
      <c r="E37" s="32"/>
      <c r="F37" s="33">
        <f>IF(OR(QZ_Substance="",QZ_Sel=""),"",IFERROR(INDEX(QZ_SrcRate,(QZ_Sel-1)*3+2)*1000,"–"))</f>
        <v>3.7312266450672697E-2</v>
      </c>
      <c r="G37" s="31" t="str">
        <f>IF(OR(QZ_Substance="",QZ_Sel=""),"",INDEX(QZ_SrcDeg,(QZ_Sel-1)*3+2))</f>
        <v>Medium</v>
      </c>
      <c r="H37" s="34">
        <f>IF(OR(QZ_Substance="",QZ_Sel=""),"",INDEX(QZ_SrcVz,(QZ_Sel-1)*3+2))</f>
        <v>0.29218211229748786</v>
      </c>
      <c r="I37" s="144" t="str">
        <f>IF(OR(QZ_Substance="",QZ_Sel=""),"",IF(NOT(INDEX(QZ_SrcApplies,(QZ_Sel-1)*3+2)),"None",IF(NOT(INDEX(QZ_SrcSized,(QZ_Sel-1)*3+2)),"Zone 0 inside only",INDEX(QZ_SrcD1,(QZ_Sel-1)*3+2))))</f>
        <v>Zone 1</v>
      </c>
      <c r="J37" s="145"/>
      <c r="K37" s="1"/>
    </row>
    <row r="38" spans="1:11" ht="22" customHeight="1" x14ac:dyDescent="0.35">
      <c r="A38" s="1"/>
      <c r="B38" s="30" t="s">
        <v>70</v>
      </c>
      <c r="C38" s="138" t="str">
        <f>IF(OR(QZ_Substance="",QZ_Sel=""),"",INDEX(QZ_SrcText,(QZ_Sel-1)*3+3))</f>
        <v>Spill of the full amount</v>
      </c>
      <c r="D38" s="139"/>
      <c r="E38" s="32"/>
      <c r="F38" s="33">
        <f>IF(OR(QZ_Substance="",QZ_Sel=""),"",IFERROR(INDEX(QZ_SrcRate,(QZ_Sel-1)*3+3)*1000,"–"))</f>
        <v>0.31249378584431808</v>
      </c>
      <c r="G38" s="31" t="str">
        <f>IF(OR(QZ_Substance="",QZ_Sel=""),"",INDEX(QZ_SrcDeg,(QZ_Sel-1)*3+3))</f>
        <v>Medium</v>
      </c>
      <c r="H38" s="34">
        <f>IF(OR(QZ_Substance="",QZ_Sel=""),"",INDEX(QZ_SrcVz,(QZ_Sel-1)*3+3))</f>
        <v>39.152848374317081</v>
      </c>
      <c r="I38" s="144" t="str">
        <f>IF(OR(QZ_Substance="",QZ_Sel=""),"",IF(NOT(INDEX(QZ_SrcApplies,(QZ_Sel-1)*3+3)),"None",IF(NOT(INDEX(QZ_SrcSized,(QZ_Sel-1)*3+3)),"Zone 0 inside only",INDEX(QZ_SrcD1,(QZ_Sel-1)*3+3))))</f>
        <v>Zone 2</v>
      </c>
      <c r="J38" s="145"/>
      <c r="K38" s="1"/>
    </row>
    <row r="39" spans="1:11" ht="14" customHeight="1" x14ac:dyDescent="0.35">
      <c r="A39" s="1"/>
      <c r="B39" s="18"/>
      <c r="C39" s="19"/>
      <c r="D39" s="19"/>
      <c r="E39" s="19"/>
      <c r="F39" s="19"/>
      <c r="G39" s="19"/>
      <c r="H39" s="19"/>
      <c r="I39" s="19"/>
      <c r="J39" s="20"/>
      <c r="K39" s="1"/>
    </row>
    <row r="40" spans="1:11" ht="26" customHeight="1" x14ac:dyDescent="0.35">
      <c r="A40" s="1"/>
      <c r="B40" s="36" t="s">
        <v>71</v>
      </c>
      <c r="C40" s="37"/>
      <c r="D40" s="37"/>
      <c r="E40" s="37"/>
      <c r="F40" s="37"/>
      <c r="G40" s="37"/>
      <c r="H40" s="37"/>
      <c r="I40" s="37"/>
      <c r="J40" s="38"/>
      <c r="K40" s="1"/>
    </row>
    <row r="41" spans="1:11" ht="22" customHeight="1" x14ac:dyDescent="0.35">
      <c r="A41" s="1"/>
      <c r="B41" s="25" t="s">
        <v>9</v>
      </c>
      <c r="C41" s="142" t="s">
        <v>17</v>
      </c>
      <c r="D41" s="143"/>
      <c r="E41" s="27"/>
      <c r="F41" s="142" t="s">
        <v>22</v>
      </c>
      <c r="G41" s="143"/>
      <c r="H41" s="142" t="s">
        <v>27</v>
      </c>
      <c r="I41" s="143"/>
      <c r="J41" s="29" t="s">
        <v>72</v>
      </c>
      <c r="K41" s="1"/>
    </row>
    <row r="42" spans="1:11" ht="22" customHeight="1" x14ac:dyDescent="0.35">
      <c r="A42" s="1"/>
      <c r="B42" s="15" t="str">
        <f>Tables!$A$43</f>
        <v>Closed containers / sealed system</v>
      </c>
      <c r="C42" s="138" t="str">
        <f>'Quick Zone Calc'!$M$74</f>
        <v>Inside the containers</v>
      </c>
      <c r="D42" s="139"/>
      <c r="E42" s="32"/>
      <c r="F42" s="138" t="str">
        <f>'Quick Zone Calc'!$N$74</f>
        <v>None</v>
      </c>
      <c r="G42" s="139"/>
      <c r="H42" s="138" t="str">
        <f>'Quick Zone Calc'!$O$74</f>
        <v>2.65 m</v>
      </c>
      <c r="I42" s="139"/>
      <c r="J42" s="35" t="str">
        <f>'Quick Zone Calc'!$AB$74</f>
        <v>Ga</v>
      </c>
      <c r="K42" s="1"/>
    </row>
    <row r="43" spans="1:11" ht="22" customHeight="1" x14ac:dyDescent="0.35">
      <c r="A43" s="1"/>
      <c r="B43" s="15" t="str">
        <f>Tables!$A$44</f>
        <v>Decanting / filling / sampling</v>
      </c>
      <c r="C43" s="138" t="str">
        <f>'Quick Zone Calc'!$M$75</f>
        <v>Inside the container</v>
      </c>
      <c r="D43" s="139"/>
      <c r="E43" s="32"/>
      <c r="F43" s="138" t="str">
        <f>'Quick Zone Calc'!$N$75</f>
        <v>0.52 m</v>
      </c>
      <c r="G43" s="139"/>
      <c r="H43" s="138" t="str">
        <f>'Quick Zone Calc'!$O$75</f>
        <v>2.65 m</v>
      </c>
      <c r="I43" s="139"/>
      <c r="J43" s="35" t="str">
        <f>'Quick Zone Calc'!$AB$75</f>
        <v>Ga</v>
      </c>
      <c r="K43" s="1"/>
    </row>
    <row r="44" spans="1:11" ht="22" customHeight="1" x14ac:dyDescent="0.35">
      <c r="A44" s="1"/>
      <c r="B44" s="15" t="str">
        <f>Tables!$A$45</f>
        <v>Open vessel / continuous emission</v>
      </c>
      <c r="C44" s="138" t="str">
        <f>'Quick Zone Calc'!$M$76</f>
        <v>Inside + 0.91 m</v>
      </c>
      <c r="D44" s="139"/>
      <c r="E44" s="32"/>
      <c r="F44" s="138" t="str">
        <f>'Quick Zone Calc'!$N$76</f>
        <v>Within Zone 0</v>
      </c>
      <c r="G44" s="139"/>
      <c r="H44" s="138" t="str">
        <f>'Quick Zone Calc'!$O$76</f>
        <v>2.65 m</v>
      </c>
      <c r="I44" s="139"/>
      <c r="J44" s="35" t="str">
        <f>'Quick Zone Calc'!$AB$76</f>
        <v>Ga</v>
      </c>
      <c r="K44" s="1"/>
    </row>
    <row r="45" spans="1:11" ht="22" customHeight="1" x14ac:dyDescent="0.35">
      <c r="A45" s="1"/>
      <c r="B45" s="15" t="str">
        <f>Tables!$A$46</f>
        <v>Open tin or tray</v>
      </c>
      <c r="C45" s="138" t="str">
        <f>'Quick Zone Calc'!$M$77</f>
        <v>Inside + 0.91 m</v>
      </c>
      <c r="D45" s="139"/>
      <c r="E45" s="32"/>
      <c r="F45" s="138" t="str">
        <f>'Quick Zone Calc'!$N$77</f>
        <v>None</v>
      </c>
      <c r="G45" s="139"/>
      <c r="H45" s="138" t="str">
        <f>'Quick Zone Calc'!$O$77</f>
        <v>2.65 m</v>
      </c>
      <c r="I45" s="139"/>
      <c r="J45" s="35" t="str">
        <f>'Quick Zone Calc'!$AB$77</f>
        <v>Ga</v>
      </c>
      <c r="K45" s="1"/>
    </row>
    <row r="46" spans="1:11" ht="22" customHeight="1" x14ac:dyDescent="0.35">
      <c r="A46" s="1"/>
      <c r="B46" s="15" t="str">
        <f>Tables!$A$47</f>
        <v>Wiping with solvent rags</v>
      </c>
      <c r="C46" s="138" t="str">
        <f>'Quick Zone Calc'!$M$78</f>
        <v>Inside the solvent container</v>
      </c>
      <c r="D46" s="139"/>
      <c r="E46" s="32"/>
      <c r="F46" s="138" t="str">
        <f>'Quick Zone Calc'!$N$78</f>
        <v>1.14 m</v>
      </c>
      <c r="G46" s="139"/>
      <c r="H46" s="138" t="str">
        <f>'Quick Zone Calc'!$O$78</f>
        <v>2.65 m</v>
      </c>
      <c r="I46" s="139"/>
      <c r="J46" s="35" t="str">
        <f>'Quick Zone Calc'!$AB$78</f>
        <v>Ga</v>
      </c>
      <c r="K46" s="1"/>
    </row>
    <row r="47" spans="1:11" ht="14" customHeight="1" x14ac:dyDescent="0.35">
      <c r="A47" s="1"/>
      <c r="B47" s="18"/>
      <c r="C47" s="19"/>
      <c r="D47" s="19"/>
      <c r="E47" s="19"/>
      <c r="F47" s="19"/>
      <c r="G47" s="19"/>
      <c r="H47" s="19"/>
      <c r="I47" s="19"/>
      <c r="J47" s="20"/>
      <c r="K47" s="1"/>
    </row>
    <row r="48" spans="1:11" ht="26" customHeight="1" x14ac:dyDescent="0.35">
      <c r="A48" s="1"/>
      <c r="B48" s="36" t="s">
        <v>73</v>
      </c>
      <c r="C48" s="37"/>
      <c r="D48" s="37"/>
      <c r="E48" s="37"/>
      <c r="F48" s="37"/>
      <c r="G48" s="37"/>
      <c r="H48" s="37"/>
      <c r="I48" s="37"/>
      <c r="J48" s="38"/>
      <c r="K48" s="1"/>
    </row>
    <row r="49" spans="1:11" ht="100" customHeight="1" x14ac:dyDescent="0.35">
      <c r="A49" s="1"/>
      <c r="B49" s="150" t="str">
        <f>QZ_Notes</f>
        <v>• Heavier than air: extend each zone down to the floor, the same distance across it, and into pits, drains and trenches.
• Some releases are limited by the amount handled in one go. If the job repeats back to back, enter the amount per hour instead.
• Distances are exact, with the safety factor k on the LFL. Final extents still need judgement on release direction, obstructions and openings.</v>
      </c>
      <c r="C49" s="137"/>
      <c r="D49" s="137"/>
      <c r="E49" s="137"/>
      <c r="F49" s="137"/>
      <c r="G49" s="137"/>
      <c r="H49" s="137"/>
      <c r="I49" s="137"/>
      <c r="J49" s="141"/>
      <c r="K49" s="1"/>
    </row>
    <row r="50" spans="1:11" ht="8" customHeight="1" x14ac:dyDescent="0.35">
      <c r="A50" s="1"/>
      <c r="B50" s="18"/>
      <c r="C50" s="19"/>
      <c r="D50" s="19"/>
      <c r="E50" s="19"/>
      <c r="F50" s="19"/>
      <c r="G50" s="19"/>
      <c r="H50" s="19"/>
      <c r="I50" s="19"/>
      <c r="J50" s="20"/>
      <c r="K50" s="1"/>
    </row>
    <row r="51" spans="1:11" x14ac:dyDescent="0.35">
      <c r="A51" s="1"/>
      <c r="B51" s="157" t="s">
        <v>74</v>
      </c>
      <c r="C51" s="137"/>
      <c r="D51" s="137"/>
      <c r="E51" s="137"/>
      <c r="F51" s="137"/>
      <c r="G51" s="137"/>
      <c r="H51" s="137"/>
      <c r="I51" s="137"/>
      <c r="J51" s="141"/>
      <c r="K51" s="1"/>
    </row>
    <row r="52" spans="1:11" x14ac:dyDescent="0.35">
      <c r="A52" s="1"/>
      <c r="B52" s="167" t="s">
        <v>75</v>
      </c>
      <c r="C52" s="137"/>
      <c r="D52" s="137"/>
      <c r="E52" s="19"/>
      <c r="F52" s="163" t="s">
        <v>76</v>
      </c>
      <c r="G52" s="137"/>
      <c r="H52" s="137"/>
      <c r="I52" s="137"/>
      <c r="J52" s="141"/>
      <c r="K52" s="1"/>
    </row>
    <row r="53" spans="1:11" ht="8" customHeight="1" x14ac:dyDescent="0.35">
      <c r="A53" s="1"/>
      <c r="B53" s="39"/>
      <c r="C53" s="32"/>
      <c r="D53" s="32"/>
      <c r="E53" s="32"/>
      <c r="F53" s="32"/>
      <c r="G53" s="32"/>
      <c r="H53" s="32"/>
      <c r="I53" s="32"/>
      <c r="J53" s="40"/>
      <c r="K53" s="1"/>
    </row>
    <row r="54" spans="1:11" x14ac:dyDescent="0.35">
      <c r="A54" s="1"/>
      <c r="B54" s="1"/>
      <c r="C54" s="1"/>
      <c r="D54" s="1"/>
      <c r="E54" s="1"/>
      <c r="F54" s="1"/>
      <c r="G54" s="1"/>
      <c r="H54" s="1"/>
      <c r="I54" s="1"/>
      <c r="J54" s="1"/>
      <c r="K54" s="1"/>
    </row>
    <row r="55" spans="1:11" x14ac:dyDescent="0.35">
      <c r="A55" s="1"/>
      <c r="B55" s="1"/>
      <c r="C55" s="1"/>
      <c r="D55" s="1"/>
      <c r="E55" s="1"/>
      <c r="F55" s="1"/>
      <c r="G55" s="1"/>
      <c r="H55" s="1"/>
      <c r="I55" s="1"/>
      <c r="J55" s="1"/>
      <c r="K55" s="1"/>
    </row>
  </sheetData>
  <mergeCells count="50">
    <mergeCell ref="F52:J52"/>
    <mergeCell ref="I35:J35"/>
    <mergeCell ref="B3:J3"/>
    <mergeCell ref="C38:D38"/>
    <mergeCell ref="I38:J38"/>
    <mergeCell ref="H42:I42"/>
    <mergeCell ref="C37:D37"/>
    <mergeCell ref="B52:D52"/>
    <mergeCell ref="I13:J13"/>
    <mergeCell ref="G15:J15"/>
    <mergeCell ref="G9:H9"/>
    <mergeCell ref="I9:J9"/>
    <mergeCell ref="F44:G44"/>
    <mergeCell ref="G14:J14"/>
    <mergeCell ref="B51:J51"/>
    <mergeCell ref="F9:F10"/>
    <mergeCell ref="H45:I45"/>
    <mergeCell ref="C36:D36"/>
    <mergeCell ref="F46:G46"/>
    <mergeCell ref="F11:F12"/>
    <mergeCell ref="G10:J10"/>
    <mergeCell ref="F43:G43"/>
    <mergeCell ref="B49:J49"/>
    <mergeCell ref="G13:H13"/>
    <mergeCell ref="F32:J32"/>
    <mergeCell ref="F41:G41"/>
    <mergeCell ref="F2:J2"/>
    <mergeCell ref="F13:F14"/>
    <mergeCell ref="C43:D43"/>
    <mergeCell ref="C46:D46"/>
    <mergeCell ref="I8:J8"/>
    <mergeCell ref="H46:I46"/>
    <mergeCell ref="C41:D41"/>
    <mergeCell ref="G12:J12"/>
    <mergeCell ref="F45:G45"/>
    <mergeCell ref="C44:D44"/>
    <mergeCell ref="I37:J37"/>
    <mergeCell ref="F42:G42"/>
    <mergeCell ref="C45:D45"/>
    <mergeCell ref="I36:J36"/>
    <mergeCell ref="F6:J6"/>
    <mergeCell ref="G8:H8"/>
    <mergeCell ref="H44:I44"/>
    <mergeCell ref="C35:D35"/>
    <mergeCell ref="F7:J7"/>
    <mergeCell ref="G11:H11"/>
    <mergeCell ref="C42:D42"/>
    <mergeCell ref="H43:I43"/>
    <mergeCell ref="I11:J11"/>
    <mergeCell ref="H41:I41"/>
  </mergeCells>
  <conditionalFormatting sqref="B42:J46">
    <cfRule type="expression" dxfId="15" priority="8">
      <formula>$B42=QZ_Activity</formula>
    </cfRule>
  </conditionalFormatting>
  <conditionalFormatting sqref="F9:F10">
    <cfRule type="expression" dxfId="14" priority="1" stopIfTrue="1">
      <formula>AND(QZ_Substance&lt;&gt;"",NOT(QZ_Pres0))</formula>
    </cfRule>
  </conditionalFormatting>
  <conditionalFormatting sqref="F11:F12">
    <cfRule type="expression" dxfId="13" priority="3" stopIfTrue="1">
      <formula>AND(QZ_Substance&lt;&gt;"",NOT(QZ_Pres1))</formula>
    </cfRule>
  </conditionalFormatting>
  <conditionalFormatting sqref="F13:F14">
    <cfRule type="expression" dxfId="12" priority="5" stopIfTrue="1">
      <formula>AND(QZ_Substance&lt;&gt;"",NOT(QZ_Pres2))</formula>
    </cfRule>
  </conditionalFormatting>
  <conditionalFormatting sqref="F6:J6">
    <cfRule type="expression" dxfId="11" priority="7">
      <formula>OR(QZ_Headline="No zone normally needed",QZ_Headline="Non-hazardous")</formula>
    </cfRule>
  </conditionalFormatting>
  <conditionalFormatting sqref="G9:J9">
    <cfRule type="expression" dxfId="10" priority="2">
      <formula>OR(QZ_BelowFP=TRUE,AND(QZ_Substance&lt;&gt;"",NOT(QZ_Pres0)))</formula>
    </cfRule>
  </conditionalFormatting>
  <conditionalFormatting sqref="G11:J11">
    <cfRule type="expression" dxfId="9" priority="4">
      <formula>OR(QZ_BelowFP=TRUE,AND(QZ_Substance&lt;&gt;"",NOT(QZ_Pres1)))</formula>
    </cfRule>
  </conditionalFormatting>
  <conditionalFormatting sqref="G13:J13">
    <cfRule type="expression" dxfId="8" priority="6">
      <formula>OR(QZ_BelowFP=TRUE,AND(QZ_Substance&lt;&gt;"",NOT(QZ_Pres2)))</formula>
    </cfRule>
  </conditionalFormatting>
  <dataValidations count="14">
    <dataValidation type="list" showErrorMessage="1" errorTitle="Not on the list" error="Choose Indoor or Outdoor." sqref="C9" xr:uid="{00000000-0002-0000-0000-000002000000}">
      <formula1>"Indoor,Outdoor"</formula1>
    </dataValidation>
    <dataValidation type="list" showErrorMessage="1" errorTitle="Not on the list" error="Choose Good, Fair or Poor." sqref="C14" xr:uid="{00000000-0002-0000-0000-000003000000}">
      <formula1>"Good,Fair,Poor"</formula1>
    </dataValidation>
    <dataValidation type="decimal" operator="greaterThan" showErrorMessage="1" errorTitle="Check this value" error="Enter an amount above zero." sqref="C7" xr:uid="{00000000-0002-0000-0000-000004000000}">
      <formula1>0</formula1>
    </dataValidation>
    <dataValidation type="decimal" showErrorMessage="1" errorTitle="Check this value" error="Enter a temperature between −100 and 600 °C." sqref="C10" xr:uid="{00000000-0002-0000-0000-000005000000}">
      <formula1>-100</formula1>
      <formula2>600</formula2>
    </dataValidation>
    <dataValidation type="decimal" operator="greaterThanOrEqual" showErrorMessage="1" errorTitle="Check this value" error="Enter a gauge pressure of zero or more." sqref="C11" xr:uid="{00000000-0002-0000-0000-000006000000}">
      <formula1>0</formula1>
    </dataValidation>
    <dataValidation type="decimal" operator="greaterThan" showErrorMessage="1" errorTitle="Check this value" error="Enter a room volume above zero." sqref="C12" xr:uid="{00000000-0002-0000-0000-000007000000}">
      <formula1>0</formula1>
    </dataValidation>
    <dataValidation type="decimal" operator="greaterThan" showErrorMessage="1" errorTitle="Check this value" error="Enter air changes above zero. Use 0.25 for a closed room with no ventilation." sqref="C13" xr:uid="{00000000-0002-0000-0000-000008000000}">
      <formula1>0</formula1>
    </dataValidation>
    <dataValidation type="decimal" operator="greaterThan" showErrorMessage="1" errorTitle="Check this value" error="Enter air changes above zero. A closed building leaks about 0.25 to 1." sqref="C15" xr:uid="{00000000-0002-0000-0000-000009000000}">
      <formula1>0</formula1>
    </dataValidation>
    <dataValidation type="decimal" operator="greaterThan" showErrorMessage="1" errorTitle="Check this value" error="Enter a spill depth above zero." sqref="C18" xr:uid="{00000000-0002-0000-0000-00000A000000}">
      <formula1>0</formula1>
    </dataValidation>
    <dataValidation type="decimal" operator="greaterThan" allowBlank="1" showErrorMessage="1" errorTitle="Check this value" error="Leave blank for no bund, or enter an area above zero." sqref="C19" xr:uid="{00000000-0002-0000-0000-00000B000000}">
      <formula1>0</formula1>
    </dataValidation>
    <dataValidation type="decimal" operator="greaterThanOrEqual" showErrorMessage="1" errorTitle="Check this value" error="Enter zero or more." sqref="C30 C28 C20:C23" xr:uid="{00000000-0002-0000-0000-00000C000000}">
      <formula1>0</formula1>
    </dataValidation>
    <dataValidation type="decimal" operator="greaterThan" showErrorMessage="1" errorTitle="Check this value" error="Enter an air speed above zero." sqref="C24:C25" xr:uid="{00000000-0002-0000-0000-000012000000}">
      <formula1>0</formula1>
    </dataValidation>
    <dataValidation type="decimal" showErrorMessage="1" errorTitle="Check this value" error="Ventilation efficiency runs from 1 (perfect mixing) to 5 (very poor)." sqref="C26:C27" xr:uid="{00000000-0002-0000-0000-000014000000}">
      <formula1>1</formula1>
      <formula2>5</formula2>
    </dataValidation>
    <dataValidation type="decimal" showErrorMessage="1" errorTitle="Check this value" error="Enter a discharge coefficient between 0.01 and 1." sqref="C29" xr:uid="{00000000-0002-0000-0000-000016000000}">
      <formula1>0.01</formula1>
      <formula2>1</formula2>
    </dataValidation>
  </dataValidations>
  <hyperlinks>
    <hyperlink ref="B52" location="'Quick Zone Calc'!B1" display="See the workings on the Quick Zone Calc sheet" xr:uid="{00000000-0004-0000-0000-000000000000}"/>
  </hyperlinks>
  <printOptions horizontalCentered="1"/>
  <pageMargins left="0.4" right="0.4" top="0.5" bottom="0.5" header="0.5" footer="0.5"/>
  <pageSetup paperSize="9" orientation="landscape"/>
  <drawing r:id="rId1"/>
  <extLst>
    <ext xmlns:x14="http://schemas.microsoft.com/office/spreadsheetml/2009/9/main" uri="{CCE6A557-97BC-4b89-ADB6-D9C93CAAB3DF}">
      <x14:dataValidations xmlns:xm="http://schemas.microsoft.com/office/excel/2006/main" count="2">
        <x14:dataValidation type="list" showErrorMessage="1" errorTitle="Not on the list" error="Pick a substance from the list. To add one, fill a new row on the Substances sheet." xr:uid="{00000000-0002-0000-0000-000000000000}">
          <x14:formula1>
            <xm:f>Substances!$A$2:$A$60</xm:f>
          </x14:formula1>
          <xm:sqref>C6</xm:sqref>
        </x14:dataValidation>
        <x14:dataValidation type="list" showErrorMessage="1" errorTitle="Not on the list" error="Pick one of the listed activities." xr:uid="{00000000-0002-0000-0000-000001000000}">
          <x14:formula1>
            <xm:f>Tables!$A$43:$A$47</xm:f>
          </x14:formula1>
          <xm:sqref>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52"/>
  <sheetViews>
    <sheetView showGridLines="0" zoomScaleNormal="90" workbookViewId="0"/>
  </sheetViews>
  <sheetFormatPr defaultColWidth="8.6328125" defaultRowHeight="14.5" x14ac:dyDescent="0.35"/>
  <cols>
    <col min="1" max="1" width="3" customWidth="1"/>
    <col min="2" max="2" width="110" customWidth="1"/>
  </cols>
  <sheetData>
    <row r="1" spans="1:2" ht="19.75" customHeight="1" x14ac:dyDescent="0.35">
      <c r="A1" s="41"/>
      <c r="B1" s="41"/>
    </row>
    <row r="2" spans="1:2" ht="34" customHeight="1" x14ac:dyDescent="0.6">
      <c r="A2" s="41"/>
      <c r="B2" s="42" t="s">
        <v>77</v>
      </c>
    </row>
    <row r="3" spans="1:2" ht="54" customHeight="1" x14ac:dyDescent="0.35">
      <c r="A3" s="41"/>
      <c r="B3" s="43" t="s">
        <v>78</v>
      </c>
    </row>
    <row r="4" spans="1:2" ht="30" customHeight="1" x14ac:dyDescent="0.4">
      <c r="A4" s="41"/>
      <c r="B4" s="44" t="s">
        <v>79</v>
      </c>
    </row>
    <row r="5" spans="1:2" ht="24" customHeight="1" x14ac:dyDescent="0.35">
      <c r="A5" s="41"/>
      <c r="B5" s="43" t="s">
        <v>80</v>
      </c>
    </row>
    <row r="6" spans="1:2" ht="24" customHeight="1" x14ac:dyDescent="0.35">
      <c r="A6" s="41"/>
      <c r="B6" s="43" t="s">
        <v>81</v>
      </c>
    </row>
    <row r="7" spans="1:2" ht="24" customHeight="1" x14ac:dyDescent="0.35">
      <c r="A7" s="41"/>
      <c r="B7" s="43" t="s">
        <v>82</v>
      </c>
    </row>
    <row r="8" spans="1:2" ht="24" customHeight="1" x14ac:dyDescent="0.35">
      <c r="A8" s="41"/>
      <c r="B8" s="43" t="s">
        <v>83</v>
      </c>
    </row>
    <row r="9" spans="1:2" ht="24" customHeight="1" x14ac:dyDescent="0.35">
      <c r="A9" s="41"/>
      <c r="B9" s="43" t="s">
        <v>84</v>
      </c>
    </row>
    <row r="10" spans="1:2" ht="24" customHeight="1" x14ac:dyDescent="0.35">
      <c r="A10" s="41"/>
      <c r="B10" s="43" t="s">
        <v>85</v>
      </c>
    </row>
    <row r="11" spans="1:2" ht="30" customHeight="1" x14ac:dyDescent="0.4">
      <c r="A11" s="41"/>
      <c r="B11" s="44" t="s">
        <v>86</v>
      </c>
    </row>
    <row r="12" spans="1:2" ht="39" customHeight="1" x14ac:dyDescent="0.35">
      <c r="A12" s="41"/>
      <c r="B12" s="43" t="s">
        <v>87</v>
      </c>
    </row>
    <row r="13" spans="1:2" ht="54" customHeight="1" x14ac:dyDescent="0.35">
      <c r="A13" s="41"/>
      <c r="B13" s="43" t="s">
        <v>88</v>
      </c>
    </row>
    <row r="14" spans="1:2" ht="39" customHeight="1" x14ac:dyDescent="0.35">
      <c r="A14" s="41"/>
      <c r="B14" s="43" t="s">
        <v>89</v>
      </c>
    </row>
    <row r="15" spans="1:2" ht="54" customHeight="1" x14ac:dyDescent="0.35">
      <c r="A15" s="41"/>
      <c r="B15" s="43" t="s">
        <v>90</v>
      </c>
    </row>
    <row r="16" spans="1:2" ht="39" customHeight="1" x14ac:dyDescent="0.35">
      <c r="A16" s="41"/>
      <c r="B16" s="43" t="s">
        <v>91</v>
      </c>
    </row>
    <row r="17" spans="1:2" ht="39" customHeight="1" x14ac:dyDescent="0.35">
      <c r="A17" s="41"/>
      <c r="B17" s="43" t="s">
        <v>92</v>
      </c>
    </row>
    <row r="18" spans="1:2" ht="54" customHeight="1" x14ac:dyDescent="0.35">
      <c r="A18" s="41"/>
      <c r="B18" s="43" t="s">
        <v>93</v>
      </c>
    </row>
    <row r="19" spans="1:2" ht="30" customHeight="1" x14ac:dyDescent="0.4">
      <c r="A19" s="41"/>
      <c r="B19" s="44" t="s">
        <v>94</v>
      </c>
    </row>
    <row r="20" spans="1:2" ht="54" customHeight="1" x14ac:dyDescent="0.35">
      <c r="A20" s="41"/>
      <c r="B20" s="43" t="s">
        <v>95</v>
      </c>
    </row>
    <row r="21" spans="1:2" ht="54" customHeight="1" x14ac:dyDescent="0.35">
      <c r="A21" s="41"/>
      <c r="B21" s="43" t="s">
        <v>96</v>
      </c>
    </row>
    <row r="22" spans="1:2" ht="30" customHeight="1" x14ac:dyDescent="0.4">
      <c r="A22" s="41"/>
      <c r="B22" s="44" t="s">
        <v>97</v>
      </c>
    </row>
    <row r="23" spans="1:2" ht="18" customHeight="1" x14ac:dyDescent="0.35">
      <c r="A23" s="41"/>
      <c r="B23" s="45" t="s">
        <v>98</v>
      </c>
    </row>
    <row r="24" spans="1:2" ht="33" customHeight="1" x14ac:dyDescent="0.35">
      <c r="A24" s="41"/>
      <c r="B24" s="45" t="s">
        <v>99</v>
      </c>
    </row>
    <row r="25" spans="1:2" ht="18" customHeight="1" x14ac:dyDescent="0.35">
      <c r="A25" s="41"/>
      <c r="B25" s="45" t="s">
        <v>100</v>
      </c>
    </row>
    <row r="26" spans="1:2" ht="33" customHeight="1" x14ac:dyDescent="0.35">
      <c r="A26" s="41"/>
      <c r="B26" s="45" t="s">
        <v>101</v>
      </c>
    </row>
    <row r="27" spans="1:2" ht="18" customHeight="1" x14ac:dyDescent="0.35">
      <c r="A27" s="41"/>
      <c r="B27" s="45" t="s">
        <v>102</v>
      </c>
    </row>
    <row r="28" spans="1:2" ht="18" customHeight="1" x14ac:dyDescent="0.35">
      <c r="A28" s="41"/>
      <c r="B28" s="45" t="s">
        <v>103</v>
      </c>
    </row>
    <row r="29" spans="1:2" ht="18" customHeight="1" x14ac:dyDescent="0.35">
      <c r="A29" s="41"/>
      <c r="B29" s="45" t="s">
        <v>104</v>
      </c>
    </row>
    <row r="30" spans="1:2" ht="30" customHeight="1" x14ac:dyDescent="0.4">
      <c r="A30" s="41"/>
      <c r="B30" s="44" t="s">
        <v>105</v>
      </c>
    </row>
    <row r="31" spans="1:2" ht="24" customHeight="1" x14ac:dyDescent="0.35">
      <c r="A31" s="41"/>
      <c r="B31" s="43" t="s">
        <v>106</v>
      </c>
    </row>
    <row r="32" spans="1:2" ht="18" customHeight="1" x14ac:dyDescent="0.35">
      <c r="A32" s="41"/>
      <c r="B32" s="45" t="s">
        <v>107</v>
      </c>
    </row>
    <row r="33" spans="1:2" ht="18" customHeight="1" x14ac:dyDescent="0.35">
      <c r="A33" s="41"/>
      <c r="B33" s="45" t="s">
        <v>108</v>
      </c>
    </row>
    <row r="34" spans="1:2" ht="18" customHeight="1" x14ac:dyDescent="0.35">
      <c r="B34" s="45" t="s">
        <v>109</v>
      </c>
    </row>
    <row r="35" spans="1:2" ht="18" customHeight="1" x14ac:dyDescent="0.35">
      <c r="B35" s="45" t="s">
        <v>110</v>
      </c>
    </row>
    <row r="36" spans="1:2" ht="18" customHeight="1" x14ac:dyDescent="0.35">
      <c r="B36" s="45" t="s">
        <v>111</v>
      </c>
    </row>
    <row r="37" spans="1:2" ht="33" customHeight="1" x14ac:dyDescent="0.35">
      <c r="B37" s="45" t="s">
        <v>112</v>
      </c>
    </row>
    <row r="38" spans="1:2" ht="39" customHeight="1" x14ac:dyDescent="0.35">
      <c r="B38" s="43" t="s">
        <v>113</v>
      </c>
    </row>
    <row r="39" spans="1:2" ht="24" customHeight="1" x14ac:dyDescent="0.35">
      <c r="B39" s="43" t="s">
        <v>114</v>
      </c>
    </row>
    <row r="40" spans="1:2" ht="24" customHeight="1" x14ac:dyDescent="0.35">
      <c r="B40" s="43" t="s">
        <v>115</v>
      </c>
    </row>
    <row r="41" spans="1:2" ht="24" customHeight="1" x14ac:dyDescent="0.35">
      <c r="B41" s="43" t="s">
        <v>116</v>
      </c>
    </row>
    <row r="42" spans="1:2" ht="39" customHeight="1" x14ac:dyDescent="0.35">
      <c r="B42" s="43" t="s">
        <v>117</v>
      </c>
    </row>
    <row r="43" spans="1:2" ht="30" customHeight="1" x14ac:dyDescent="0.4">
      <c r="B43" s="44" t="s">
        <v>118</v>
      </c>
    </row>
    <row r="44" spans="1:2" ht="54" customHeight="1" x14ac:dyDescent="0.35">
      <c r="B44" s="43" t="s">
        <v>119</v>
      </c>
    </row>
    <row r="45" spans="1:2" ht="30" customHeight="1" x14ac:dyDescent="0.4">
      <c r="B45" s="44" t="s">
        <v>120</v>
      </c>
    </row>
    <row r="46" spans="1:2" ht="54" customHeight="1" x14ac:dyDescent="0.35">
      <c r="B46" s="43" t="s">
        <v>121</v>
      </c>
    </row>
    <row r="47" spans="1:2" ht="30" customHeight="1" x14ac:dyDescent="0.4">
      <c r="B47" s="44" t="s">
        <v>122</v>
      </c>
    </row>
    <row r="48" spans="1:2" ht="39" customHeight="1" x14ac:dyDescent="0.35">
      <c r="B48" s="43" t="s">
        <v>123</v>
      </c>
    </row>
    <row r="49" spans="2:2" ht="24" customHeight="1" x14ac:dyDescent="0.35">
      <c r="B49" s="43" t="s">
        <v>124</v>
      </c>
    </row>
    <row r="50" spans="2:2" ht="24" customHeight="1" x14ac:dyDescent="0.35">
      <c r="B50" s="43" t="s">
        <v>125</v>
      </c>
    </row>
    <row r="51" spans="2:2" ht="39" customHeight="1" x14ac:dyDescent="0.35">
      <c r="B51" s="43" t="s">
        <v>126</v>
      </c>
    </row>
    <row r="52" spans="2:2" ht="24" customHeight="1" x14ac:dyDescent="0.35">
      <c r="B52" s="43" t="s">
        <v>127</v>
      </c>
    </row>
  </sheetData>
  <pageMargins left="0.75" right="0.75" top="1" bottom="1" header="0.511811023622047" footer="0.511811023622047"/>
  <pageSetup paperSize="9" fitToHeight="0"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W57"/>
  <sheetViews>
    <sheetView showGridLines="0" zoomScale="90" zoomScaleNormal="90" workbookViewId="0">
      <pane xSplit="3" ySplit="7" topLeftCell="D8" activePane="bottomRight" state="frozen"/>
      <selection pane="topRight" activeCell="D1" sqref="D1"/>
      <selection pane="bottomLeft" activeCell="A8" sqref="A8"/>
      <selection pane="bottomRight"/>
    </sheetView>
  </sheetViews>
  <sheetFormatPr defaultColWidth="8.6328125" defaultRowHeight="14.5" x14ac:dyDescent="0.35"/>
  <cols>
    <col min="1" max="1" width="7" customWidth="1"/>
    <col min="2" max="2" width="30" customWidth="1"/>
    <col min="3" max="3" width="18" customWidth="1"/>
    <col min="4" max="4" width="16" customWidth="1"/>
    <col min="5" max="5" width="12" customWidth="1"/>
    <col min="6" max="7" width="10" customWidth="1"/>
    <col min="8" max="8" width="11" customWidth="1"/>
    <col min="9" max="12" width="10" customWidth="1"/>
    <col min="13" max="13" width="13" customWidth="1"/>
    <col min="14" max="14" width="9" customWidth="1"/>
    <col min="15" max="15" width="10" customWidth="1"/>
    <col min="16" max="16" width="11" customWidth="1"/>
    <col min="17" max="18" width="10" customWidth="1"/>
    <col min="19" max="19" width="11" customWidth="1"/>
    <col min="20" max="20" width="12" customWidth="1"/>
    <col min="21" max="21" width="9" customWidth="1"/>
    <col min="22" max="22" width="8" customWidth="1"/>
    <col min="23" max="23" width="7" customWidth="1"/>
    <col min="24" max="25" width="9" customWidth="1"/>
    <col min="26" max="26" width="8" customWidth="1"/>
    <col min="27" max="28" width="7" customWidth="1"/>
    <col min="29" max="29" width="10" customWidth="1"/>
    <col min="30" max="30" width="12" customWidth="1"/>
    <col min="31" max="32" width="9" customWidth="1"/>
    <col min="33" max="33" width="12" customWidth="1"/>
    <col min="34" max="35" width="10" customWidth="1"/>
    <col min="36" max="36" width="11" customWidth="1"/>
    <col min="37" max="37" width="12" customWidth="1"/>
    <col min="38" max="38" width="10" customWidth="1"/>
    <col min="39" max="39" width="6" customWidth="1"/>
    <col min="40" max="40" width="11" customWidth="1"/>
    <col min="41" max="41" width="10" customWidth="1"/>
    <col min="42" max="42" width="12" customWidth="1"/>
    <col min="43" max="44" width="10" customWidth="1"/>
    <col min="45" max="45" width="22" customWidth="1"/>
    <col min="46" max="46" width="12" customWidth="1"/>
    <col min="47" max="47" width="10" customWidth="1"/>
    <col min="48" max="48" width="16" customWidth="1"/>
    <col min="49" max="49" width="48" customWidth="1"/>
  </cols>
  <sheetData>
    <row r="1" spans="1:49" ht="28" customHeight="1" x14ac:dyDescent="0.5">
      <c r="A1" s="46" t="s">
        <v>128</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row>
    <row r="2" spans="1:49" ht="15" customHeight="1" x14ac:dyDescent="0.35">
      <c r="A2" s="41" t="s">
        <v>129</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row>
    <row r="3" spans="1:49" ht="15" customHeight="1" x14ac:dyDescent="0.35">
      <c r="A3" s="48" t="s">
        <v>130</v>
      </c>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row>
    <row r="4" spans="1:49" ht="23.9" customHeight="1" x14ac:dyDescent="0.35">
      <c r="A4" s="47"/>
      <c r="B4" s="49" t="s">
        <v>131</v>
      </c>
      <c r="C4" s="47"/>
      <c r="D4" s="50" t="s">
        <v>132</v>
      </c>
      <c r="E4" s="47"/>
      <c r="F4" s="51" t="s">
        <v>133</v>
      </c>
      <c r="G4" s="47"/>
      <c r="H4" s="52" t="s">
        <v>4</v>
      </c>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row>
    <row r="5" spans="1:49" x14ac:dyDescent="0.35">
      <c r="A5" s="47"/>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row>
    <row r="6" spans="1:49" ht="22" customHeight="1" x14ac:dyDescent="0.35">
      <c r="A6" s="169" t="s">
        <v>134</v>
      </c>
      <c r="B6" s="170"/>
      <c r="C6" s="170"/>
      <c r="D6" s="170"/>
      <c r="E6" s="170"/>
      <c r="F6" s="170"/>
      <c r="G6" s="170"/>
      <c r="H6" s="170"/>
      <c r="I6" s="170"/>
      <c r="J6" s="170"/>
      <c r="K6" s="170"/>
      <c r="L6" s="170"/>
      <c r="M6" s="170"/>
      <c r="N6" s="170"/>
      <c r="O6" s="170"/>
      <c r="P6" s="170"/>
      <c r="Q6" s="170"/>
      <c r="R6" s="170"/>
      <c r="S6" s="170"/>
      <c r="T6" s="170"/>
      <c r="U6" s="169" t="s">
        <v>120</v>
      </c>
      <c r="V6" s="170"/>
      <c r="W6" s="170"/>
      <c r="X6" s="170"/>
      <c r="Y6" s="170"/>
      <c r="Z6" s="170"/>
      <c r="AA6" s="170"/>
      <c r="AB6" s="170"/>
      <c r="AC6" s="170"/>
      <c r="AD6" s="169" t="s">
        <v>135</v>
      </c>
      <c r="AE6" s="170"/>
      <c r="AF6" s="170"/>
      <c r="AG6" s="170"/>
      <c r="AH6" s="170"/>
      <c r="AI6" s="170"/>
      <c r="AJ6" s="170"/>
      <c r="AK6" s="170"/>
      <c r="AL6" s="169" t="s">
        <v>136</v>
      </c>
      <c r="AM6" s="170"/>
      <c r="AN6" s="170"/>
      <c r="AO6" s="170"/>
      <c r="AP6" s="170"/>
      <c r="AQ6" s="170"/>
      <c r="AR6" s="170"/>
      <c r="AS6" s="170"/>
      <c r="AT6" s="170"/>
      <c r="AU6" s="170"/>
      <c r="AV6" s="170"/>
      <c r="AW6" s="170"/>
    </row>
    <row r="7" spans="1:49" ht="58" customHeight="1" x14ac:dyDescent="0.35">
      <c r="A7" s="53" t="s">
        <v>137</v>
      </c>
      <c r="B7" s="53" t="s">
        <v>138</v>
      </c>
      <c r="C7" s="53" t="s">
        <v>5</v>
      </c>
      <c r="D7" s="53" t="s">
        <v>139</v>
      </c>
      <c r="E7" s="53" t="s">
        <v>62</v>
      </c>
      <c r="F7" s="53" t="s">
        <v>140</v>
      </c>
      <c r="G7" s="53" t="s">
        <v>141</v>
      </c>
      <c r="H7" s="53" t="s">
        <v>142</v>
      </c>
      <c r="I7" s="53" t="s">
        <v>143</v>
      </c>
      <c r="J7" s="53" t="s">
        <v>144</v>
      </c>
      <c r="K7" s="53" t="s">
        <v>145</v>
      </c>
      <c r="L7" s="53" t="s">
        <v>146</v>
      </c>
      <c r="M7" s="53" t="s">
        <v>147</v>
      </c>
      <c r="N7" s="53" t="s">
        <v>148</v>
      </c>
      <c r="O7" s="53" t="s">
        <v>149</v>
      </c>
      <c r="P7" s="53" t="s">
        <v>150</v>
      </c>
      <c r="Q7" s="53" t="s">
        <v>151</v>
      </c>
      <c r="R7" s="53" t="s">
        <v>25</v>
      </c>
      <c r="S7" s="53" t="s">
        <v>152</v>
      </c>
      <c r="T7" s="53" t="s">
        <v>153</v>
      </c>
      <c r="U7" s="53" t="s">
        <v>154</v>
      </c>
      <c r="V7" s="53" t="s">
        <v>155</v>
      </c>
      <c r="W7" s="53" t="s">
        <v>156</v>
      </c>
      <c r="X7" s="53" t="s">
        <v>157</v>
      </c>
      <c r="Y7" s="53" t="s">
        <v>158</v>
      </c>
      <c r="Z7" s="53" t="s">
        <v>159</v>
      </c>
      <c r="AA7" s="53" t="s">
        <v>160</v>
      </c>
      <c r="AB7" s="53" t="s">
        <v>161</v>
      </c>
      <c r="AC7" s="53" t="s">
        <v>162</v>
      </c>
      <c r="AD7" s="53" t="s">
        <v>163</v>
      </c>
      <c r="AE7" s="53" t="s">
        <v>164</v>
      </c>
      <c r="AF7" s="53" t="s">
        <v>165</v>
      </c>
      <c r="AG7" s="53" t="s">
        <v>166</v>
      </c>
      <c r="AH7" s="53" t="s">
        <v>167</v>
      </c>
      <c r="AI7" s="53" t="s">
        <v>168</v>
      </c>
      <c r="AJ7" s="53" t="s">
        <v>169</v>
      </c>
      <c r="AK7" s="53" t="s">
        <v>170</v>
      </c>
      <c r="AL7" s="53" t="s">
        <v>171</v>
      </c>
      <c r="AM7" s="53" t="s">
        <v>172</v>
      </c>
      <c r="AN7" s="53" t="s">
        <v>173</v>
      </c>
      <c r="AO7" s="53" t="s">
        <v>174</v>
      </c>
      <c r="AP7" s="53" t="s">
        <v>175</v>
      </c>
      <c r="AQ7" s="53" t="s">
        <v>176</v>
      </c>
      <c r="AR7" s="53" t="s">
        <v>177</v>
      </c>
      <c r="AS7" s="53" t="s">
        <v>178</v>
      </c>
      <c r="AT7" s="53" t="s">
        <v>179</v>
      </c>
      <c r="AU7" s="53" t="s">
        <v>180</v>
      </c>
      <c r="AV7" s="53" t="s">
        <v>181</v>
      </c>
      <c r="AW7" s="53" t="s">
        <v>182</v>
      </c>
    </row>
    <row r="8" spans="1:49" ht="18" customHeight="1" x14ac:dyDescent="0.35">
      <c r="A8" s="54" t="s">
        <v>183</v>
      </c>
      <c r="B8" s="55" t="s">
        <v>184</v>
      </c>
      <c r="C8" s="54" t="s">
        <v>185</v>
      </c>
      <c r="D8" s="54" t="s">
        <v>186</v>
      </c>
      <c r="E8" s="54" t="s">
        <v>70</v>
      </c>
      <c r="F8" s="54" t="s">
        <v>187</v>
      </c>
      <c r="G8" s="56">
        <v>10</v>
      </c>
      <c r="H8" s="57">
        <v>20</v>
      </c>
      <c r="I8" s="57">
        <v>20</v>
      </c>
      <c r="J8" s="58">
        <v>2.5</v>
      </c>
      <c r="K8" s="56">
        <v>0.75</v>
      </c>
      <c r="L8" s="56">
        <v>1</v>
      </c>
      <c r="M8" s="56"/>
      <c r="N8" s="56"/>
      <c r="O8" s="56"/>
      <c r="P8" s="56"/>
      <c r="Q8" s="59"/>
      <c r="R8" s="57"/>
      <c r="S8" s="57">
        <v>1</v>
      </c>
      <c r="T8" s="54" t="s">
        <v>29</v>
      </c>
      <c r="U8" s="60">
        <f>IF($C8="","",IFERROR(IF(INDEX(Substances!$C$2:$C$60,MATCH($C8,Substances!$A$2:$A$60,0))="","",INDEX(Substances!$C$2:$C$60,MATCH($C8,Substances!$A$2:$A$60,0))),"—"))</f>
        <v>44.1</v>
      </c>
      <c r="V8" s="61">
        <f>IF($C8="","",IFERROR(IF(INDEX(Substances!$D$2:$D$60,MATCH($C8,Substances!$A$2:$A$60,0))="","",INDEX(Substances!$D$2:$D$60,MATCH($C8,Substances!$A$2:$A$60,0))),"—"))</f>
        <v>1.7</v>
      </c>
      <c r="W8" s="60">
        <f>IF($C8="","",IFERROR(IF(INDEX(Substances!$F$2:$F$60,MATCH($C8,Substances!$A$2:$A$60,0))="","",INDEX(Substances!$F$2:$F$60,MATCH($C8,Substances!$A$2:$A$60,0))),"—"))</f>
        <v>1.1299999999999999</v>
      </c>
      <c r="X8" s="62">
        <f>IF($C8="","",IFERROR(IF(INDEX(Substances!$G$2:$G$60,MATCH($C8,Substances!$A$2:$A$60,0))="","",INDEX(Substances!$G$2:$G$60,MATCH($C8,Substances!$A$2:$A$60,0))),"—"))</f>
        <v>493</v>
      </c>
      <c r="Y8" s="61">
        <f>IF($C8="","",IFERROR(IF(INDEX(Substances!$H$2:$H$60,MATCH($C8,Substances!$A$2:$A$60,0))="","",INDEX(Substances!$H$2:$H$60,MATCH($C8,Substances!$A$2:$A$60,0))),"—"))</f>
        <v>-42.1</v>
      </c>
      <c r="Z8" s="62" t="str">
        <f>IF($C8="","",IFERROR(IF(INDEX(Substances!$I$2:$I$60,MATCH($C8,Substances!$A$2:$A$60,0))="","",INDEX(Substances!$I$2:$I$60,MATCH($C8,Substances!$A$2:$A$60,0))),"—"))</f>
        <v/>
      </c>
      <c r="AA8" s="62">
        <f>IF($C8="","",IFERROR(IF(INDEX(Substances!$J$2:$J$60,MATCH($C8,Substances!$A$2:$A$60,0))="","",INDEX(Substances!$J$2:$J$60,MATCH($C8,Substances!$A$2:$A$60,0))),"—"))</f>
        <v>450</v>
      </c>
      <c r="AB8" s="63" t="str">
        <f>IF($C8="","",IFERROR(IF(INDEX(Substances!$K$2:$K$60,MATCH($C8,Substances!$A$2:$A$60,0))="","",INDEX(Substances!$K$2:$K$60,MATCH($C8,Substances!$A$2:$A$60,0))),"—"))</f>
        <v>IIA</v>
      </c>
      <c r="AC8" s="60">
        <f t="shared" ref="AC8:AC39" si="0">IF($C8="","",IFERROR($U8/28.96,"—"))</f>
        <v>1.5227900552486189</v>
      </c>
      <c r="AD8" s="64">
        <f>IF($C8="","",IFERROR(N($G8)*100000+Tables!$B$4,"—"))</f>
        <v>1101325</v>
      </c>
      <c r="AE8" s="65">
        <f t="shared" ref="AE8:AE39" si="1">IF($C8="","",IFERROR($H8+273.15,"—"))</f>
        <v>293.14999999999998</v>
      </c>
      <c r="AF8" s="65">
        <f t="shared" ref="AF8:AF39" si="2">IF($C8="","",IFERROR($I8+273.15,"—"))</f>
        <v>293.14999999999998</v>
      </c>
      <c r="AG8" s="64">
        <f>IF($C8="","",IFERROR(IF($D8="Gas/vapour jet",Tables!$B$4*(($W8+1)/2)^($W8/($W8-1)),"n/a"),"—"))</f>
        <v>175165.19562975346</v>
      </c>
      <c r="AH8" s="66" t="str">
        <f t="shared" ref="AH8:AH39" si="3">IF($C8="","",IFERROR(IF($D8="Gas/vapour jet",IF($AD8&gt;$AG8,"Choked","Subsonic"),"n/a"),"—"))</f>
        <v>Choked</v>
      </c>
      <c r="AI8" s="67" t="str">
        <f>IF($C8="","",IFERROR(IF($D8="Gas/vapour jet","n/a",MIN(101.325,IF($P8&lt;&gt;"",$P8,IF(N(INDEX(Substances!$L$2:$L$60,MATCH($C8,Substances!$A$2:$A$60,0)))&lt;&gt;0,0.133322*10^(INDEX(Substances!$L$2:$L$60,MATCH($C8,Substances!$A$2:$A$60,0))-INDEX(Substances!$M$2:$M$60,MATCH($C8,Substances!$A$2:$A$60,0))/(INDEX(Substances!$N$2:$N$60,MATCH($C8,Substances!$A$2:$A$60,0))+$H8)),101.325*EXP(10.58*(1-($Y8+273.15)/$AE8)))))),"—"))</f>
        <v>n/a</v>
      </c>
      <c r="AJ8" s="68" t="str">
        <f t="shared" ref="AJ8:AJ39" si="4">IF($C8="","",IFERROR(IF($D8="Liquid jet",$K8*$J8*0.000001*SQRT(2*$X8*N($G8)*100000),"n/a"),"—"))</f>
        <v>n/a</v>
      </c>
      <c r="AK8" s="69">
        <f>IF($C8="","",IFERROR(IF($D8="Gas/vapour jet",IF($AH8="Choked",$K8*$J8*0.000001*$AD8*SQRT($W8*$U8/($L8*Tables!$B$5*$AE8)*(2/($W8+1))^(($W8+1)/($W8-1))),$K8*$J8*0.000001*$AD8*SQRT($U8/($L8*Tables!$B$5*$AE8)*(2*$W8/($W8-1))*(1-(Tables!$B$4/$AD8)^(($W8-1)/$W8))*(Tables!$B$4/$AD8)^(2/$W8))),IF($D8="Liquid jet",$AJ8*IF($M8&lt;&gt;"",$M8,IF($H8&gt;=$Y8,1,0)),6.55*$O8^0.78*$N8*$AI8*$U8^0.667/(Tables!$B$5*$AE8))),"—"))</f>
        <v>5.5740251616866439E-3</v>
      </c>
      <c r="AL8" s="70">
        <f>IF($C8="","",IFERROR(Tables!$B$10*$U8*$V8,"—"))</f>
        <v>3.118752E-2</v>
      </c>
      <c r="AM8" s="67">
        <f>IF($C8="","",IFERROR(INDEX(Tables!$B$15:$B$17,MATCH($E8,Tables!$A$15:$A$17,0)),"—"))</f>
        <v>0.5</v>
      </c>
      <c r="AN8" s="68">
        <f>IF($C8="","",IFERROR($AK8/($AM8*$AL8)*$AF8/Tables!$B$9,"—"))</f>
        <v>0.35763528220171409</v>
      </c>
      <c r="AO8" s="70">
        <f>IF($C8="","",IFERROR(IF($F8="Outdoor",Tables!$B$8,$R8/3600),"—"))</f>
        <v>0.03</v>
      </c>
      <c r="AP8" s="71">
        <f t="shared" ref="AP8:AP39" si="5">IF($C8="","",IFERROR($S8*$AN8/$AO8,"—"))</f>
        <v>11.92117607339047</v>
      </c>
      <c r="AQ8" s="72" t="str">
        <f>IF($C8="","",IFERROR(IF($AP8&lt;Tables!$B$7,"High",IF($F8="Outdoor","Medium",IF($AP8&lt;$Q8,"Medium","Low"))),"—"))</f>
        <v>Medium</v>
      </c>
      <c r="AR8" s="73">
        <f>IF($C8="","",IFERROR(-$S8/$AO8*LN($V8*$AM8/Tables!$B$6)/60,"—"))</f>
        <v>2.6487161752699255</v>
      </c>
      <c r="AS8" s="74" t="str">
        <f>IF($C8="","",IFERROR(INDEX(Tables!$B$22:$J$24,MATCH($E8,Tables!$A$22:$A$24,0),MATCH($AQ8&amp;"-"&amp;$T8,Tables!$B$21:$J$21,0)),"—"))</f>
        <v>Zone 2</v>
      </c>
      <c r="AT8" s="75">
        <f t="shared" ref="AT8:AT39" si="6">IF($C8="","",IFERROR((3*$AP8/(2*PI()))^(1/3),"—"))</f>
        <v>1.7854738597255786</v>
      </c>
      <c r="AU8" s="76" t="str">
        <f t="shared" ref="AU8:AU39" si="7">IF($C8="","",IFERROR(IF(ISNUMBER(SEARCH("Zone 0",IFERROR(LEFT($AS8,FIND("(",$AS8)-1),$AS8))),"Ga",IF(ISNUMBER(SEARCH("Zone 1",IFERROR(LEFT($AS8,FIND("(",$AS8)-1),$AS8))),"Gb",IF(ISNUMBER(SEARCH("Zone 2",IFERROR(LEFT($AS8,FIND("(",$AS8)-1),$AS8))),"Gc","None required"))),"—"))</f>
        <v>Gc</v>
      </c>
      <c r="AV8" s="72" t="str">
        <f>IF($C8="","",IFERROR(IF($AU8="None required","—",$AB8&amp;" "&amp;INDEX(Tables!$B$31:$B$37,MATCH($AA8-0.001,Tables!$A$31:$A$37,1))),"—"))</f>
        <v>IIA T2</v>
      </c>
      <c r="AW8" s="77" t="str">
        <f t="shared" ref="AW8:AW39" si="8">IF($C8="","",TRIM(IF(IF(ISNUMBER($Z8),$H8&lt;$Z8-5,FALSE()),"Handled &gt;5°C below flash point — may not need zoning (unless mist/spray). ","")&amp;IF(IF(AND($D8="Pool evaporation",ISNUMBER($Y8)),$H8&gt;=$Y8,FALSE()),"Liquid at/above boiling point — pool equation not valid, treat as gas release. ","")&amp;IF(IF(AND($D8="Liquid jet",$M8="",ISNUMBER($Y8)),$H8&lt;$Y8,FALSE()),"Non-flashing liquid: vapour rate set to 0 — model the resulting pool on its own row. ","")&amp;IF(AND($D8="Gas/vapour jet",NOT(ISNUMBER($W8))),"No γ in library for this substance. ","")&amp;IF(IF(ISNUMBER($AC8),$AC8&gt;1.2,FALSE()),"Heavier than air — extend zone at low level / into pits and drains. ","")&amp;IF($AQ8="Low","Vz ≥ V0: ventilation cannot control the release — whole room affected. ","")&amp;IF(AND($F8="Indoor",OR($Q8="",$R8="")),"Indoor: enter room volume and air changes. ","")))</f>
        <v>Heavier than air — extend zone at low level / into pits and drains.</v>
      </c>
    </row>
    <row r="9" spans="1:49" ht="18" customHeight="1" x14ac:dyDescent="0.35">
      <c r="A9" s="54" t="s">
        <v>188</v>
      </c>
      <c r="B9" s="55" t="s">
        <v>189</v>
      </c>
      <c r="C9" s="54" t="s">
        <v>190</v>
      </c>
      <c r="D9" s="54" t="s">
        <v>186</v>
      </c>
      <c r="E9" s="54" t="s">
        <v>70</v>
      </c>
      <c r="F9" s="54" t="s">
        <v>16</v>
      </c>
      <c r="G9" s="56">
        <v>2</v>
      </c>
      <c r="H9" s="57">
        <v>20</v>
      </c>
      <c r="I9" s="57">
        <v>20</v>
      </c>
      <c r="J9" s="58">
        <v>1</v>
      </c>
      <c r="K9" s="56">
        <v>0.75</v>
      </c>
      <c r="L9" s="56">
        <v>1</v>
      </c>
      <c r="M9" s="56"/>
      <c r="N9" s="56"/>
      <c r="O9" s="56"/>
      <c r="P9" s="56"/>
      <c r="Q9" s="59">
        <v>200</v>
      </c>
      <c r="R9" s="57">
        <v>3</v>
      </c>
      <c r="S9" s="57">
        <v>2</v>
      </c>
      <c r="T9" s="54" t="s">
        <v>191</v>
      </c>
      <c r="U9" s="60">
        <f>IF($C9="","",IFERROR(IF(INDEX(Substances!$C$2:$C$60,MATCH($C9,Substances!$A$2:$A$60,0))="","",INDEX(Substances!$C$2:$C$60,MATCH($C9,Substances!$A$2:$A$60,0))),"—"))</f>
        <v>16.04</v>
      </c>
      <c r="V9" s="61">
        <f>IF($C9="","",IFERROR(IF(INDEX(Substances!$D$2:$D$60,MATCH($C9,Substances!$A$2:$A$60,0))="","",INDEX(Substances!$D$2:$D$60,MATCH($C9,Substances!$A$2:$A$60,0))),"—"))</f>
        <v>4.4000000000000004</v>
      </c>
      <c r="W9" s="60">
        <f>IF($C9="","",IFERROR(IF(INDEX(Substances!$F$2:$F$60,MATCH($C9,Substances!$A$2:$A$60,0))="","",INDEX(Substances!$F$2:$F$60,MATCH($C9,Substances!$A$2:$A$60,0))),"—"))</f>
        <v>1.31</v>
      </c>
      <c r="X9" s="62" t="str">
        <f>IF($C9="","",IFERROR(IF(INDEX(Substances!$G$2:$G$60,MATCH($C9,Substances!$A$2:$A$60,0))="","",INDEX(Substances!$G$2:$G$60,MATCH($C9,Substances!$A$2:$A$60,0))),"—"))</f>
        <v/>
      </c>
      <c r="Y9" s="61">
        <f>IF($C9="","",IFERROR(IF(INDEX(Substances!$H$2:$H$60,MATCH($C9,Substances!$A$2:$A$60,0))="","",INDEX(Substances!$H$2:$H$60,MATCH($C9,Substances!$A$2:$A$60,0))),"—"))</f>
        <v>-161.5</v>
      </c>
      <c r="Z9" s="62" t="str">
        <f>IF($C9="","",IFERROR(IF(INDEX(Substances!$I$2:$I$60,MATCH($C9,Substances!$A$2:$A$60,0))="","",INDEX(Substances!$I$2:$I$60,MATCH($C9,Substances!$A$2:$A$60,0))),"—"))</f>
        <v/>
      </c>
      <c r="AA9" s="62">
        <f>IF($C9="","",IFERROR(IF(INDEX(Substances!$J$2:$J$60,MATCH($C9,Substances!$A$2:$A$60,0))="","",INDEX(Substances!$J$2:$J$60,MATCH($C9,Substances!$A$2:$A$60,0))),"—"))</f>
        <v>600</v>
      </c>
      <c r="AB9" s="63" t="str">
        <f>IF($C9="","",IFERROR(IF(INDEX(Substances!$K$2:$K$60,MATCH($C9,Substances!$A$2:$A$60,0))="","",INDEX(Substances!$K$2:$K$60,MATCH($C9,Substances!$A$2:$A$60,0))),"—"))</f>
        <v>IIA</v>
      </c>
      <c r="AC9" s="60">
        <f t="shared" si="0"/>
        <v>0.55386740331491713</v>
      </c>
      <c r="AD9" s="64">
        <f>IF($C9="","",IFERROR(N($G9)*100000+Tables!$B$4,"—"))</f>
        <v>301325</v>
      </c>
      <c r="AE9" s="65">
        <f t="shared" si="1"/>
        <v>293.14999999999998</v>
      </c>
      <c r="AF9" s="65">
        <f t="shared" si="2"/>
        <v>293.14999999999998</v>
      </c>
      <c r="AG9" s="64">
        <f>IF($C9="","",IFERROR(IF($D9="Gas/vapour jet",Tables!$B$4*(($W9+1)/2)^($W9/($W9-1)),"n/a"),"—"))</f>
        <v>186284.17600555759</v>
      </c>
      <c r="AH9" s="66" t="str">
        <f t="shared" si="3"/>
        <v>Choked</v>
      </c>
      <c r="AI9" s="67" t="str">
        <f>IF($C9="","",IFERROR(IF($D9="Gas/vapour jet","n/a",MIN(101.325,IF($P9&lt;&gt;"",$P9,IF(N(INDEX(Substances!$L$2:$L$60,MATCH($C9,Substances!$A$2:$A$60,0)))&lt;&gt;0,0.133322*10^(INDEX(Substances!$L$2:$L$60,MATCH($C9,Substances!$A$2:$A$60,0))-INDEX(Substances!$M$2:$M$60,MATCH($C9,Substances!$A$2:$A$60,0))/(INDEX(Substances!$N$2:$N$60,MATCH($C9,Substances!$A$2:$A$60,0))+$H9)),101.325*EXP(10.58*(1-($Y9+273.15)/$AE9)))))),"—"))</f>
        <v>n/a</v>
      </c>
      <c r="AJ9" s="68" t="str">
        <f t="shared" si="4"/>
        <v>n/a</v>
      </c>
      <c r="AK9" s="69">
        <f>IF($C9="","",IFERROR(IF($D9="Gas/vapour jet",IF($AH9="Choked",$K9*$J9*0.000001*$AD9*SQRT($W9*$U9/($L9*Tables!$B$5*$AE9)*(2/($W9+1))^(($W9+1)/($W9-1))),$K9*$J9*0.000001*$AD9*SQRT($U9/($L9*Tables!$B$5*$AE9)*(2*$W9/($W9-1))*(1-(Tables!$B$4/$AD9)^(($W9-1)/$W9))*(Tables!$B$4/$AD9)^(2/$W9))),IF($D9="Liquid jet",$AJ9*IF($M9&lt;&gt;"",$M9,IF($H9&gt;=$Y9,1,0)),6.55*$O9^0.78*$N9*$AI9*$U9^0.667/(Tables!$B$5*$AE9))),"—"))</f>
        <v>3.878965692398634E-4</v>
      </c>
      <c r="AL9" s="70">
        <f>IF($C9="","",IFERROR(Tables!$B$10*$U9*$V9,"—"))</f>
        <v>2.9359616000000002E-2</v>
      </c>
      <c r="AM9" s="67">
        <f>IF($C9="","",IFERROR(INDEX(Tables!$B$15:$B$17,MATCH($E9,Tables!$A$15:$A$17,0)),"—"))</f>
        <v>0.5</v>
      </c>
      <c r="AN9" s="68">
        <f>IF($C9="","",IFERROR($AK9/($AM9*$AL9)*$AF9/Tables!$B$9,"—"))</f>
        <v>2.6437345168359761E-2</v>
      </c>
      <c r="AO9" s="70">
        <f>IF($C9="","",IFERROR(IF($F9="Outdoor",Tables!$B$8,$R9/3600),"—"))</f>
        <v>8.3333333333333339E-4</v>
      </c>
      <c r="AP9" s="71">
        <f t="shared" si="5"/>
        <v>63.449628404063425</v>
      </c>
      <c r="AQ9" s="72" t="str">
        <f>IF($C9="","",IFERROR(IF($AP9&lt;Tables!$B$7,"High",IF($F9="Outdoor","Medium",IF($AP9&lt;$Q9,"Medium","Low"))),"—"))</f>
        <v>Medium</v>
      </c>
      <c r="AR9" s="73">
        <f>IF($C9="","",IFERROR(-$S9/$AO9*LN($V9*$AM9/Tables!$B$6)/60,"—"))</f>
        <v>152.66851302495286</v>
      </c>
      <c r="AS9" s="74" t="str">
        <f>IF($C9="","",IFERROR(INDEX(Tables!$B$22:$J$24,MATCH($E9,Tables!$A$22:$A$24,0),MATCH($AQ9&amp;"-"&amp;$T9,Tables!$B$21:$J$21,0)),"—"))</f>
        <v>Zone 2</v>
      </c>
      <c r="AT9" s="75">
        <f t="shared" si="6"/>
        <v>3.1173829547971539</v>
      </c>
      <c r="AU9" s="76" t="str">
        <f t="shared" si="7"/>
        <v>Gc</v>
      </c>
      <c r="AV9" s="72" t="str">
        <f>IF($C9="","",IFERROR(IF($AU9="None required","—",$AB9&amp;" "&amp;INDEX(Tables!$B$31:$B$37,MATCH($AA9-0.001,Tables!$A$31:$A$37,1))),"—"))</f>
        <v>IIA T1</v>
      </c>
      <c r="AW9" s="77" t="str">
        <f t="shared" si="8"/>
        <v/>
      </c>
    </row>
    <row r="10" spans="1:49" ht="18" customHeight="1" x14ac:dyDescent="0.35">
      <c r="A10" s="54" t="s">
        <v>192</v>
      </c>
      <c r="B10" s="55" t="s">
        <v>193</v>
      </c>
      <c r="C10" s="54" t="s">
        <v>6</v>
      </c>
      <c r="D10" s="54" t="s">
        <v>194</v>
      </c>
      <c r="E10" s="54" t="s">
        <v>69</v>
      </c>
      <c r="F10" s="54" t="s">
        <v>16</v>
      </c>
      <c r="G10" s="56"/>
      <c r="H10" s="57">
        <v>20</v>
      </c>
      <c r="I10" s="57">
        <v>20</v>
      </c>
      <c r="J10" s="58"/>
      <c r="K10" s="56"/>
      <c r="L10" s="56"/>
      <c r="M10" s="56"/>
      <c r="N10" s="56">
        <v>1</v>
      </c>
      <c r="O10" s="56">
        <v>0.3</v>
      </c>
      <c r="P10" s="56"/>
      <c r="Q10" s="59">
        <v>500</v>
      </c>
      <c r="R10" s="57">
        <v>6</v>
      </c>
      <c r="S10" s="57">
        <v>2</v>
      </c>
      <c r="T10" s="54" t="s">
        <v>29</v>
      </c>
      <c r="U10" s="60">
        <f>IF($C10="","",IFERROR(IF(INDEX(Substances!$C$2:$C$60,MATCH($C10,Substances!$A$2:$A$60,0))="","",INDEX(Substances!$C$2:$C$60,MATCH($C10,Substances!$A$2:$A$60,0))),"—"))</f>
        <v>92.14</v>
      </c>
      <c r="V10" s="61">
        <f>IF($C10="","",IFERROR(IF(INDEX(Substances!$D$2:$D$60,MATCH($C10,Substances!$A$2:$A$60,0))="","",INDEX(Substances!$D$2:$D$60,MATCH($C10,Substances!$A$2:$A$60,0))),"—"))</f>
        <v>1</v>
      </c>
      <c r="W10" s="60" t="str">
        <f>IF($C10="","",IFERROR(IF(INDEX(Substances!$F$2:$F$60,MATCH($C10,Substances!$A$2:$A$60,0))="","",INDEX(Substances!$F$2:$F$60,MATCH($C10,Substances!$A$2:$A$60,0))),"—"))</f>
        <v/>
      </c>
      <c r="X10" s="62">
        <f>IF($C10="","",IFERROR(IF(INDEX(Substances!$G$2:$G$60,MATCH($C10,Substances!$A$2:$A$60,0))="","",INDEX(Substances!$G$2:$G$60,MATCH($C10,Substances!$A$2:$A$60,0))),"—"))</f>
        <v>867</v>
      </c>
      <c r="Y10" s="61">
        <f>IF($C10="","",IFERROR(IF(INDEX(Substances!$H$2:$H$60,MATCH($C10,Substances!$A$2:$A$60,0))="","",INDEX(Substances!$H$2:$H$60,MATCH($C10,Substances!$A$2:$A$60,0))),"—"))</f>
        <v>110.6</v>
      </c>
      <c r="Z10" s="62">
        <f>IF($C10="","",IFERROR(IF(INDEX(Substances!$I$2:$I$60,MATCH($C10,Substances!$A$2:$A$60,0))="","",INDEX(Substances!$I$2:$I$60,MATCH($C10,Substances!$A$2:$A$60,0))),"—"))</f>
        <v>4</v>
      </c>
      <c r="AA10" s="62">
        <f>IF($C10="","",IFERROR(IF(INDEX(Substances!$J$2:$J$60,MATCH($C10,Substances!$A$2:$A$60,0))="","",INDEX(Substances!$J$2:$J$60,MATCH($C10,Substances!$A$2:$A$60,0))),"—"))</f>
        <v>480</v>
      </c>
      <c r="AB10" s="63" t="str">
        <f>IF($C10="","",IFERROR(IF(INDEX(Substances!$K$2:$K$60,MATCH($C10,Substances!$A$2:$A$60,0))="","",INDEX(Substances!$K$2:$K$60,MATCH($C10,Substances!$A$2:$A$60,0))),"—"))</f>
        <v>IIA</v>
      </c>
      <c r="AC10" s="60">
        <f t="shared" si="0"/>
        <v>3.1816298342541436</v>
      </c>
      <c r="AD10" s="64">
        <f>IF($C10="","",IFERROR(N($G10)*100000+Tables!$B$4,"—"))</f>
        <v>101325</v>
      </c>
      <c r="AE10" s="65">
        <f t="shared" si="1"/>
        <v>293.14999999999998</v>
      </c>
      <c r="AF10" s="65">
        <f t="shared" si="2"/>
        <v>293.14999999999998</v>
      </c>
      <c r="AG10" s="64" t="str">
        <f>IF($C10="","",IFERROR(IF($D10="Gas/vapour jet",Tables!$B$4*(($W10+1)/2)^($W10/($W10-1)),"n/a"),"—"))</f>
        <v>n/a</v>
      </c>
      <c r="AH10" s="66" t="str">
        <f t="shared" si="3"/>
        <v>n/a</v>
      </c>
      <c r="AI10" s="67">
        <f>IF($C10="","",IFERROR(IF($D10="Gas/vapour jet","n/a",MIN(101.325,IF($P10&lt;&gt;"",$P10,IF(N(INDEX(Substances!$L$2:$L$60,MATCH($C10,Substances!$A$2:$A$60,0)))&lt;&gt;0,0.133322*10^(INDEX(Substances!$L$2:$L$60,MATCH($C10,Substances!$A$2:$A$60,0))-INDEX(Substances!$M$2:$M$60,MATCH($C10,Substances!$A$2:$A$60,0))/(INDEX(Substances!$N$2:$N$60,MATCH($C10,Substances!$A$2:$A$60,0))+$H10)),101.325*EXP(10.58*(1-($Y10+273.15)/$AE10)))))),"—"))</f>
        <v>2.9113100964592866</v>
      </c>
      <c r="AJ10" s="68" t="str">
        <f t="shared" si="4"/>
        <v>n/a</v>
      </c>
      <c r="AK10" s="69">
        <f>IF($C10="","",IFERROR(IF($D10="Gas/vapour jet",IF($AH10="Choked",$K10*$J10*0.000001*$AD10*SQRT($W10*$U10/($L10*Tables!$B$5*$AE10)*(2/($W10+1))^(($W10+1)/($W10-1))),$K10*$J10*0.000001*$AD10*SQRT($U10/($L10*Tables!$B$5*$AE10)*(2*$W10/($W10-1))*(1-(Tables!$B$4/$AD10)^(($W10-1)/$W10))*(Tables!$B$4/$AD10)^(2/$W10))),IF($D10="Liquid jet",$AJ10*IF($M10&lt;&gt;"",$M10,IF($H10&gt;=$Y10,1,0)),6.55*$O10^0.78*$N10*$AI10*$U10^0.667/(Tables!$B$5*$AE10))),"—"))</f>
        <v>6.2498757168863615E-5</v>
      </c>
      <c r="AL10" s="70">
        <f>IF($C10="","",IFERROR(Tables!$B$10*$U10*$V10,"—"))</f>
        <v>3.8330239999999995E-2</v>
      </c>
      <c r="AM10" s="67">
        <f>IF($C10="","",IFERROR(INDEX(Tables!$B$15:$B$17,MATCH($E10,Tables!$A$15:$A$17,0)),"—"))</f>
        <v>0.25</v>
      </c>
      <c r="AN10" s="68">
        <f>IF($C10="","",IFERROR($AK10/($AM10*$AL10)*$AF10/Tables!$B$9,"—"))</f>
        <v>6.5254747290528475E-3</v>
      </c>
      <c r="AO10" s="70">
        <f>IF($C10="","",IFERROR(IF($F10="Outdoor",Tables!$B$8,$R10/3600),"—"))</f>
        <v>1.6666666666666668E-3</v>
      </c>
      <c r="AP10" s="71">
        <f t="shared" si="5"/>
        <v>7.8305696748634164</v>
      </c>
      <c r="AQ10" s="72" t="str">
        <f>IF($C10="","",IFERROR(IF($AP10&lt;Tables!$B$7,"High",IF($F10="Outdoor","Medium",IF($AP10&lt;$Q10,"Medium","Low"))),"—"))</f>
        <v>Medium</v>
      </c>
      <c r="AR10" s="73">
        <f>IF($C10="","",IFERROR(-$S10/$AO10*LN($V10*$AM10/Tables!$B$6)/60,"—"))</f>
        <v>119.82929094215963</v>
      </c>
      <c r="AS10" s="74" t="str">
        <f>IF($C10="","",IFERROR(INDEX(Tables!$B$22:$J$24,MATCH($E10,Tables!$A$22:$A$24,0),MATCH($AQ10&amp;"-"&amp;$T10,Tables!$B$21:$J$21,0)),"—"))</f>
        <v>Zone 1</v>
      </c>
      <c r="AT10" s="75">
        <f t="shared" si="6"/>
        <v>1.5520709899701806</v>
      </c>
      <c r="AU10" s="76" t="str">
        <f t="shared" si="7"/>
        <v>Gb</v>
      </c>
      <c r="AV10" s="72" t="str">
        <f>IF($C10="","",IFERROR(IF($AU10="None required","—",$AB10&amp;" "&amp;INDEX(Tables!$B$31:$B$37,MATCH($AA10-0.001,Tables!$A$31:$A$37,1))),"—"))</f>
        <v>IIA T1</v>
      </c>
      <c r="AW10" s="77" t="str">
        <f t="shared" si="8"/>
        <v>Heavier than air — extend zone at low level / into pits and drains.</v>
      </c>
    </row>
    <row r="11" spans="1:49" ht="18" customHeight="1" x14ac:dyDescent="0.35">
      <c r="A11" s="54" t="s">
        <v>195</v>
      </c>
      <c r="B11" s="55" t="s">
        <v>196</v>
      </c>
      <c r="C11" s="54" t="s">
        <v>197</v>
      </c>
      <c r="D11" s="54" t="s">
        <v>198</v>
      </c>
      <c r="E11" s="54" t="s">
        <v>70</v>
      </c>
      <c r="F11" s="54" t="s">
        <v>187</v>
      </c>
      <c r="G11" s="56">
        <v>3</v>
      </c>
      <c r="H11" s="57">
        <v>20</v>
      </c>
      <c r="I11" s="57">
        <v>20</v>
      </c>
      <c r="J11" s="58">
        <v>0.25</v>
      </c>
      <c r="K11" s="56">
        <v>0.75</v>
      </c>
      <c r="L11" s="56"/>
      <c r="M11" s="56"/>
      <c r="N11" s="56"/>
      <c r="O11" s="56"/>
      <c r="P11" s="56"/>
      <c r="Q11" s="59"/>
      <c r="R11" s="57"/>
      <c r="S11" s="57">
        <v>1</v>
      </c>
      <c r="T11" s="54" t="s">
        <v>29</v>
      </c>
      <c r="U11" s="60">
        <f>IF($C11="","",IFERROR(IF(INDEX(Substances!$C$2:$C$60,MATCH($C11,Substances!$A$2:$A$60,0))="","",INDEX(Substances!$C$2:$C$60,MATCH($C11,Substances!$A$2:$A$60,0))),"—"))</f>
        <v>58.12</v>
      </c>
      <c r="V11" s="61">
        <f>IF($C11="","",IFERROR(IF(INDEX(Substances!$D$2:$D$60,MATCH($C11,Substances!$A$2:$A$60,0))="","",INDEX(Substances!$D$2:$D$60,MATCH($C11,Substances!$A$2:$A$60,0))),"—"))</f>
        <v>1.4</v>
      </c>
      <c r="W11" s="60">
        <f>IF($C11="","",IFERROR(IF(INDEX(Substances!$F$2:$F$60,MATCH($C11,Substances!$A$2:$A$60,0))="","",INDEX(Substances!$F$2:$F$60,MATCH($C11,Substances!$A$2:$A$60,0))),"—"))</f>
        <v>1.1000000000000001</v>
      </c>
      <c r="X11" s="62">
        <f>IF($C11="","",IFERROR(IF(INDEX(Substances!$G$2:$G$60,MATCH($C11,Substances!$A$2:$A$60,0))="","",INDEX(Substances!$G$2:$G$60,MATCH($C11,Substances!$A$2:$A$60,0))),"—"))</f>
        <v>579</v>
      </c>
      <c r="Y11" s="61">
        <f>IF($C11="","",IFERROR(IF(INDEX(Substances!$H$2:$H$60,MATCH($C11,Substances!$A$2:$A$60,0))="","",INDEX(Substances!$H$2:$H$60,MATCH($C11,Substances!$A$2:$A$60,0))),"—"))</f>
        <v>-0.5</v>
      </c>
      <c r="Z11" s="62" t="str">
        <f>IF($C11="","",IFERROR(IF(INDEX(Substances!$I$2:$I$60,MATCH($C11,Substances!$A$2:$A$60,0))="","",INDEX(Substances!$I$2:$I$60,MATCH($C11,Substances!$A$2:$A$60,0))),"—"))</f>
        <v/>
      </c>
      <c r="AA11" s="62">
        <f>IF($C11="","",IFERROR(IF(INDEX(Substances!$J$2:$J$60,MATCH($C11,Substances!$A$2:$A$60,0))="","",INDEX(Substances!$J$2:$J$60,MATCH($C11,Substances!$A$2:$A$60,0))),"—"))</f>
        <v>372</v>
      </c>
      <c r="AB11" s="63" t="str">
        <f>IF($C11="","",IFERROR(IF(INDEX(Substances!$K$2:$K$60,MATCH($C11,Substances!$A$2:$A$60,0))="","",INDEX(Substances!$K$2:$K$60,MATCH($C11,Substances!$A$2:$A$60,0))),"—"))</f>
        <v>IIA</v>
      </c>
      <c r="AC11" s="60">
        <f t="shared" si="0"/>
        <v>2.006906077348066</v>
      </c>
      <c r="AD11" s="64">
        <f>IF($C11="","",IFERROR(N($G11)*100000+Tables!$B$4,"—"))</f>
        <v>401325</v>
      </c>
      <c r="AE11" s="65">
        <f t="shared" si="1"/>
        <v>293.14999999999998</v>
      </c>
      <c r="AF11" s="65">
        <f t="shared" si="2"/>
        <v>293.14999999999998</v>
      </c>
      <c r="AG11" s="64" t="str">
        <f>IF($C11="","",IFERROR(IF($D11="Gas/vapour jet",Tables!$B$4*(($W11+1)/2)^($W11/($W11-1)),"n/a"),"—"))</f>
        <v>n/a</v>
      </c>
      <c r="AH11" s="66" t="str">
        <f t="shared" si="3"/>
        <v>n/a</v>
      </c>
      <c r="AI11" s="67">
        <f>IF($C11="","",IFERROR(IF($D11="Gas/vapour jet","n/a",MIN(101.325,IF($P11&lt;&gt;"",$P11,IF(N(INDEX(Substances!$L$2:$L$60,MATCH($C11,Substances!$A$2:$A$60,0)))&lt;&gt;0,0.133322*10^(INDEX(Substances!$L$2:$L$60,MATCH($C11,Substances!$A$2:$A$60,0))-INDEX(Substances!$M$2:$M$60,MATCH($C11,Substances!$A$2:$A$60,0))/(INDEX(Substances!$N$2:$N$60,MATCH($C11,Substances!$A$2:$A$60,0))+$H11)),101.325*EXP(10.58*(1-($Y11+273.15)/$AE11)))))),"—"))</f>
        <v>101.325</v>
      </c>
      <c r="AJ11" s="68">
        <f t="shared" si="4"/>
        <v>3.4947505275770402E-3</v>
      </c>
      <c r="AK11" s="69">
        <f>IF($C11="","",IFERROR(IF($D11="Gas/vapour jet",IF($AH11="Choked",$K11*$J11*0.000001*$AD11*SQRT($W11*$U11/($L11*Tables!$B$5*$AE11)*(2/($W11+1))^(($W11+1)/($W11-1))),$K11*$J11*0.000001*$AD11*SQRT($U11/($L11*Tables!$B$5*$AE11)*(2*$W11/($W11-1))*(1-(Tables!$B$4/$AD11)^(($W11-1)/$W11))*(Tables!$B$4/$AD11)^(2/$W11))),IF($D11="Liquid jet",$AJ11*IF($M11&lt;&gt;"",$M11,IF($H11&gt;=$Y11,1,0)),6.55*$O11^0.78*$N11*$AI11*$U11^0.667/(Tables!$B$5*$AE11))),"—"))</f>
        <v>3.4947505275770402E-3</v>
      </c>
      <c r="AL11" s="70">
        <f>IF($C11="","",IFERROR(Tables!$B$10*$U11*$V11,"—"))</f>
        <v>3.3849087999999992E-2</v>
      </c>
      <c r="AM11" s="67">
        <f>IF($C11="","",IFERROR(INDEX(Tables!$B$15:$B$17,MATCH($E11,Tables!$A$15:$A$17,0)),"—"))</f>
        <v>0.5</v>
      </c>
      <c r="AN11" s="68">
        <f>IF($C11="","",IFERROR($AK11/($AM11*$AL11)*$AF11/Tables!$B$9,"—"))</f>
        <v>0.20659579655484608</v>
      </c>
      <c r="AO11" s="70">
        <f>IF($C11="","",IFERROR(IF($F11="Outdoor",Tables!$B$8,$R11/3600),"—"))</f>
        <v>0.03</v>
      </c>
      <c r="AP11" s="71">
        <f t="shared" si="5"/>
        <v>6.8865265518282026</v>
      </c>
      <c r="AQ11" s="72" t="str">
        <f>IF($C11="","",IFERROR(IF($AP11&lt;Tables!$B$7,"High",IF($F11="Outdoor","Medium",IF($AP11&lt;$Q11,"Medium","Low"))),"—"))</f>
        <v>Medium</v>
      </c>
      <c r="AR11" s="73">
        <f>IF($C11="","",IFERROR(-$S11/$AO11*LN($V11*$AM11/Tables!$B$6)/60,"—"))</f>
        <v>2.7565806277371245</v>
      </c>
      <c r="AS11" s="74" t="str">
        <f>IF($C11="","",IFERROR(INDEX(Tables!$B$22:$J$24,MATCH($E11,Tables!$A$22:$A$24,0),MATCH($AQ11&amp;"-"&amp;$T11,Tables!$B$21:$J$21,0)),"—"))</f>
        <v>Zone 2</v>
      </c>
      <c r="AT11" s="75">
        <f t="shared" si="6"/>
        <v>1.4870099375685566</v>
      </c>
      <c r="AU11" s="76" t="str">
        <f t="shared" si="7"/>
        <v>Gc</v>
      </c>
      <c r="AV11" s="72" t="str">
        <f>IF($C11="","",IFERROR(IF($AU11="None required","—",$AB11&amp;" "&amp;INDEX(Tables!$B$31:$B$37,MATCH($AA11-0.001,Tables!$A$31:$A$37,1))),"—"))</f>
        <v>IIA T2</v>
      </c>
      <c r="AW11" s="77" t="str">
        <f t="shared" si="8"/>
        <v>Heavier than air — extend zone at low level / into pits and drains.</v>
      </c>
    </row>
    <row r="12" spans="1:49" ht="18" customHeight="1" x14ac:dyDescent="0.35">
      <c r="A12" s="54"/>
      <c r="B12" s="55"/>
      <c r="C12" s="54"/>
      <c r="D12" s="54"/>
      <c r="E12" s="54"/>
      <c r="F12" s="54"/>
      <c r="G12" s="56"/>
      <c r="H12" s="57"/>
      <c r="I12" s="57"/>
      <c r="J12" s="58"/>
      <c r="K12" s="56"/>
      <c r="L12" s="56"/>
      <c r="M12" s="56"/>
      <c r="N12" s="56"/>
      <c r="O12" s="56"/>
      <c r="P12" s="56"/>
      <c r="Q12" s="59"/>
      <c r="R12" s="57"/>
      <c r="S12" s="57"/>
      <c r="T12" s="54"/>
      <c r="U12" s="60" t="str">
        <f>IF($C12="","",IFERROR(IF(INDEX(Substances!$C$2:$C$60,MATCH($C12,Substances!$A$2:$A$60,0))="","",INDEX(Substances!$C$2:$C$60,MATCH($C12,Substances!$A$2:$A$60,0))),"—"))</f>
        <v/>
      </c>
      <c r="V12" s="61" t="str">
        <f>IF($C12="","",IFERROR(IF(INDEX(Substances!$D$2:$D$60,MATCH($C12,Substances!$A$2:$A$60,0))="","",INDEX(Substances!$D$2:$D$60,MATCH($C12,Substances!$A$2:$A$60,0))),"—"))</f>
        <v/>
      </c>
      <c r="W12" s="60" t="str">
        <f>IF($C12="","",IFERROR(IF(INDEX(Substances!$F$2:$F$60,MATCH($C12,Substances!$A$2:$A$60,0))="","",INDEX(Substances!$F$2:$F$60,MATCH($C12,Substances!$A$2:$A$60,0))),"—"))</f>
        <v/>
      </c>
      <c r="X12" s="62" t="str">
        <f>IF($C12="","",IFERROR(IF(INDEX(Substances!$G$2:$G$60,MATCH($C12,Substances!$A$2:$A$60,0))="","",INDEX(Substances!$G$2:$G$60,MATCH($C12,Substances!$A$2:$A$60,0))),"—"))</f>
        <v/>
      </c>
      <c r="Y12" s="61" t="str">
        <f>IF($C12="","",IFERROR(IF(INDEX(Substances!$H$2:$H$60,MATCH($C12,Substances!$A$2:$A$60,0))="","",INDEX(Substances!$H$2:$H$60,MATCH($C12,Substances!$A$2:$A$60,0))),"—"))</f>
        <v/>
      </c>
      <c r="Z12" s="62" t="str">
        <f>IF($C12="","",IFERROR(IF(INDEX(Substances!$I$2:$I$60,MATCH($C12,Substances!$A$2:$A$60,0))="","",INDEX(Substances!$I$2:$I$60,MATCH($C12,Substances!$A$2:$A$60,0))),"—"))</f>
        <v/>
      </c>
      <c r="AA12" s="62" t="str">
        <f>IF($C12="","",IFERROR(IF(INDEX(Substances!$J$2:$J$60,MATCH($C12,Substances!$A$2:$A$60,0))="","",INDEX(Substances!$J$2:$J$60,MATCH($C12,Substances!$A$2:$A$60,0))),"—"))</f>
        <v/>
      </c>
      <c r="AB12" s="63" t="str">
        <f>IF($C12="","",IFERROR(IF(INDEX(Substances!$K$2:$K$60,MATCH($C12,Substances!$A$2:$A$60,0))="","",INDEX(Substances!$K$2:$K$60,MATCH($C12,Substances!$A$2:$A$60,0))),"—"))</f>
        <v/>
      </c>
      <c r="AC12" s="60" t="str">
        <f t="shared" si="0"/>
        <v/>
      </c>
      <c r="AD12" s="64" t="str">
        <f>IF($C12="","",IFERROR(N($G12)*100000+Tables!$B$4,"—"))</f>
        <v/>
      </c>
      <c r="AE12" s="65" t="str">
        <f t="shared" si="1"/>
        <v/>
      </c>
      <c r="AF12" s="65" t="str">
        <f t="shared" si="2"/>
        <v/>
      </c>
      <c r="AG12" s="64" t="str">
        <f>IF($C12="","",IFERROR(IF($D12="Gas/vapour jet",Tables!$B$4*(($W12+1)/2)^($W12/($W12-1)),"n/a"),"—"))</f>
        <v/>
      </c>
      <c r="AH12" s="66" t="str">
        <f t="shared" si="3"/>
        <v/>
      </c>
      <c r="AI12" s="67" t="str">
        <f>IF($C12="","",IFERROR(IF($D12="Gas/vapour jet","n/a",MIN(101.325,IF($P12&lt;&gt;"",$P12,IF(N(INDEX(Substances!$L$2:$L$60,MATCH($C12,Substances!$A$2:$A$60,0)))&lt;&gt;0,0.133322*10^(INDEX(Substances!$L$2:$L$60,MATCH($C12,Substances!$A$2:$A$60,0))-INDEX(Substances!$M$2:$M$60,MATCH($C12,Substances!$A$2:$A$60,0))/(INDEX(Substances!$N$2:$N$60,MATCH($C12,Substances!$A$2:$A$60,0))+$H12)),101.325*EXP(10.58*(1-($Y12+273.15)/$AE12)))))),"—"))</f>
        <v/>
      </c>
      <c r="AJ12" s="68" t="str">
        <f t="shared" si="4"/>
        <v/>
      </c>
      <c r="AK12" s="69" t="str">
        <f>IF($C12="","",IFERROR(IF($D12="Gas/vapour jet",IF($AH12="Choked",$K12*$J12*0.000001*$AD12*SQRT($W12*$U12/($L12*Tables!$B$5*$AE12)*(2/($W12+1))^(($W12+1)/($W12-1))),$K12*$J12*0.000001*$AD12*SQRT($U12/($L12*Tables!$B$5*$AE12)*(2*$W12/($W12-1))*(1-(Tables!$B$4/$AD12)^(($W12-1)/$W12))*(Tables!$B$4/$AD12)^(2/$W12))),IF($D12="Liquid jet",$AJ12*IF($M12&lt;&gt;"",$M12,IF($H12&gt;=$Y12,1,0)),6.55*$O12^0.78*$N12*$AI12*$U12^0.667/(Tables!$B$5*$AE12))),"—"))</f>
        <v/>
      </c>
      <c r="AL12" s="70" t="str">
        <f>IF($C12="","",IFERROR(Tables!$B$10*$U12*$V12,"—"))</f>
        <v/>
      </c>
      <c r="AM12" s="67" t="str">
        <f>IF($C12="","",IFERROR(INDEX(Tables!$B$15:$B$17,MATCH($E12,Tables!$A$15:$A$17,0)),"—"))</f>
        <v/>
      </c>
      <c r="AN12" s="68" t="str">
        <f>IF($C12="","",IFERROR($AK12/($AM12*$AL12)*$AF12/Tables!$B$9,"—"))</f>
        <v/>
      </c>
      <c r="AO12" s="70" t="str">
        <f>IF($C12="","",IFERROR(IF($F12="Outdoor",Tables!$B$8,$R12/3600),"—"))</f>
        <v/>
      </c>
      <c r="AP12" s="71" t="str">
        <f t="shared" si="5"/>
        <v/>
      </c>
      <c r="AQ12" s="72" t="str">
        <f>IF($C12="","",IFERROR(IF($AP12&lt;Tables!$B$7,"High",IF($F12="Outdoor","Medium",IF($AP12&lt;$Q12,"Medium","Low"))),"—"))</f>
        <v/>
      </c>
      <c r="AR12" s="73" t="str">
        <f>IF($C12="","",IFERROR(-$S12/$AO12*LN($V12*$AM12/Tables!$B$6)/60,"—"))</f>
        <v/>
      </c>
      <c r="AS12" s="74" t="str">
        <f>IF($C12="","",IFERROR(INDEX(Tables!$B$22:$J$24,MATCH($E12,Tables!$A$22:$A$24,0),MATCH($AQ12&amp;"-"&amp;$T12,Tables!$B$21:$J$21,0)),"—"))</f>
        <v/>
      </c>
      <c r="AT12" s="75" t="str">
        <f t="shared" si="6"/>
        <v/>
      </c>
      <c r="AU12" s="76" t="str">
        <f t="shared" si="7"/>
        <v/>
      </c>
      <c r="AV12" s="72" t="str">
        <f>IF($C12="","",IFERROR(IF($AU12="None required","—",$AB12&amp;" "&amp;INDEX(Tables!$B$31:$B$37,MATCH($AA12-0.001,Tables!$A$31:$A$37,1))),"—"))</f>
        <v/>
      </c>
      <c r="AW12" s="77" t="str">
        <f t="shared" si="8"/>
        <v/>
      </c>
    </row>
    <row r="13" spans="1:49" ht="18" customHeight="1" x14ac:dyDescent="0.35">
      <c r="A13" s="54"/>
      <c r="B13" s="55"/>
      <c r="C13" s="54"/>
      <c r="D13" s="54"/>
      <c r="E13" s="54"/>
      <c r="F13" s="54"/>
      <c r="G13" s="56"/>
      <c r="H13" s="57"/>
      <c r="I13" s="57"/>
      <c r="J13" s="58"/>
      <c r="K13" s="56"/>
      <c r="L13" s="56"/>
      <c r="M13" s="56"/>
      <c r="N13" s="56"/>
      <c r="O13" s="56"/>
      <c r="P13" s="56"/>
      <c r="Q13" s="59"/>
      <c r="R13" s="57"/>
      <c r="S13" s="57"/>
      <c r="T13" s="54"/>
      <c r="U13" s="60" t="str">
        <f>IF($C13="","",IFERROR(IF(INDEX(Substances!$C$2:$C$60,MATCH($C13,Substances!$A$2:$A$60,0))="","",INDEX(Substances!$C$2:$C$60,MATCH($C13,Substances!$A$2:$A$60,0))),"—"))</f>
        <v/>
      </c>
      <c r="V13" s="61" t="str">
        <f>IF($C13="","",IFERROR(IF(INDEX(Substances!$D$2:$D$60,MATCH($C13,Substances!$A$2:$A$60,0))="","",INDEX(Substances!$D$2:$D$60,MATCH($C13,Substances!$A$2:$A$60,0))),"—"))</f>
        <v/>
      </c>
      <c r="W13" s="60" t="str">
        <f>IF($C13="","",IFERROR(IF(INDEX(Substances!$F$2:$F$60,MATCH($C13,Substances!$A$2:$A$60,0))="","",INDEX(Substances!$F$2:$F$60,MATCH($C13,Substances!$A$2:$A$60,0))),"—"))</f>
        <v/>
      </c>
      <c r="X13" s="62" t="str">
        <f>IF($C13="","",IFERROR(IF(INDEX(Substances!$G$2:$G$60,MATCH($C13,Substances!$A$2:$A$60,0))="","",INDEX(Substances!$G$2:$G$60,MATCH($C13,Substances!$A$2:$A$60,0))),"—"))</f>
        <v/>
      </c>
      <c r="Y13" s="61" t="str">
        <f>IF($C13="","",IFERROR(IF(INDEX(Substances!$H$2:$H$60,MATCH($C13,Substances!$A$2:$A$60,0))="","",INDEX(Substances!$H$2:$H$60,MATCH($C13,Substances!$A$2:$A$60,0))),"—"))</f>
        <v/>
      </c>
      <c r="Z13" s="62" t="str">
        <f>IF($C13="","",IFERROR(IF(INDEX(Substances!$I$2:$I$60,MATCH($C13,Substances!$A$2:$A$60,0))="","",INDEX(Substances!$I$2:$I$60,MATCH($C13,Substances!$A$2:$A$60,0))),"—"))</f>
        <v/>
      </c>
      <c r="AA13" s="62" t="str">
        <f>IF($C13="","",IFERROR(IF(INDEX(Substances!$J$2:$J$60,MATCH($C13,Substances!$A$2:$A$60,0))="","",INDEX(Substances!$J$2:$J$60,MATCH($C13,Substances!$A$2:$A$60,0))),"—"))</f>
        <v/>
      </c>
      <c r="AB13" s="63" t="str">
        <f>IF($C13="","",IFERROR(IF(INDEX(Substances!$K$2:$K$60,MATCH($C13,Substances!$A$2:$A$60,0))="","",INDEX(Substances!$K$2:$K$60,MATCH($C13,Substances!$A$2:$A$60,0))),"—"))</f>
        <v/>
      </c>
      <c r="AC13" s="60" t="str">
        <f t="shared" si="0"/>
        <v/>
      </c>
      <c r="AD13" s="64" t="str">
        <f>IF($C13="","",IFERROR(N($G13)*100000+Tables!$B$4,"—"))</f>
        <v/>
      </c>
      <c r="AE13" s="65" t="str">
        <f t="shared" si="1"/>
        <v/>
      </c>
      <c r="AF13" s="65" t="str">
        <f t="shared" si="2"/>
        <v/>
      </c>
      <c r="AG13" s="64" t="str">
        <f>IF($C13="","",IFERROR(IF($D13="Gas/vapour jet",Tables!$B$4*(($W13+1)/2)^($W13/($W13-1)),"n/a"),"—"))</f>
        <v/>
      </c>
      <c r="AH13" s="66" t="str">
        <f t="shared" si="3"/>
        <v/>
      </c>
      <c r="AI13" s="67" t="str">
        <f>IF($C13="","",IFERROR(IF($D13="Gas/vapour jet","n/a",MIN(101.325,IF($P13&lt;&gt;"",$P13,IF(N(INDEX(Substances!$L$2:$L$60,MATCH($C13,Substances!$A$2:$A$60,0)))&lt;&gt;0,0.133322*10^(INDEX(Substances!$L$2:$L$60,MATCH($C13,Substances!$A$2:$A$60,0))-INDEX(Substances!$M$2:$M$60,MATCH($C13,Substances!$A$2:$A$60,0))/(INDEX(Substances!$N$2:$N$60,MATCH($C13,Substances!$A$2:$A$60,0))+$H13)),101.325*EXP(10.58*(1-($Y13+273.15)/$AE13)))))),"—"))</f>
        <v/>
      </c>
      <c r="AJ13" s="68" t="str">
        <f t="shared" si="4"/>
        <v/>
      </c>
      <c r="AK13" s="69" t="str">
        <f>IF($C13="","",IFERROR(IF($D13="Gas/vapour jet",IF($AH13="Choked",$K13*$J13*0.000001*$AD13*SQRT($W13*$U13/($L13*Tables!$B$5*$AE13)*(2/($W13+1))^(($W13+1)/($W13-1))),$K13*$J13*0.000001*$AD13*SQRT($U13/($L13*Tables!$B$5*$AE13)*(2*$W13/($W13-1))*(1-(Tables!$B$4/$AD13)^(($W13-1)/$W13))*(Tables!$B$4/$AD13)^(2/$W13))),IF($D13="Liquid jet",$AJ13*IF($M13&lt;&gt;"",$M13,IF($H13&gt;=$Y13,1,0)),6.55*$O13^0.78*$N13*$AI13*$U13^0.667/(Tables!$B$5*$AE13))),"—"))</f>
        <v/>
      </c>
      <c r="AL13" s="70" t="str">
        <f>IF($C13="","",IFERROR(Tables!$B$10*$U13*$V13,"—"))</f>
        <v/>
      </c>
      <c r="AM13" s="67" t="str">
        <f>IF($C13="","",IFERROR(INDEX(Tables!$B$15:$B$17,MATCH($E13,Tables!$A$15:$A$17,0)),"—"))</f>
        <v/>
      </c>
      <c r="AN13" s="68" t="str">
        <f>IF($C13="","",IFERROR($AK13/($AM13*$AL13)*$AF13/Tables!$B$9,"—"))</f>
        <v/>
      </c>
      <c r="AO13" s="70" t="str">
        <f>IF($C13="","",IFERROR(IF($F13="Outdoor",Tables!$B$8,$R13/3600),"—"))</f>
        <v/>
      </c>
      <c r="AP13" s="71" t="str">
        <f t="shared" si="5"/>
        <v/>
      </c>
      <c r="AQ13" s="72" t="str">
        <f>IF($C13="","",IFERROR(IF($AP13&lt;Tables!$B$7,"High",IF($F13="Outdoor","Medium",IF($AP13&lt;$Q13,"Medium","Low"))),"—"))</f>
        <v/>
      </c>
      <c r="AR13" s="73" t="str">
        <f>IF($C13="","",IFERROR(-$S13/$AO13*LN($V13*$AM13/Tables!$B$6)/60,"—"))</f>
        <v/>
      </c>
      <c r="AS13" s="74" t="str">
        <f>IF($C13="","",IFERROR(INDEX(Tables!$B$22:$J$24,MATCH($E13,Tables!$A$22:$A$24,0),MATCH($AQ13&amp;"-"&amp;$T13,Tables!$B$21:$J$21,0)),"—"))</f>
        <v/>
      </c>
      <c r="AT13" s="75" t="str">
        <f t="shared" si="6"/>
        <v/>
      </c>
      <c r="AU13" s="76" t="str">
        <f t="shared" si="7"/>
        <v/>
      </c>
      <c r="AV13" s="72" t="str">
        <f>IF($C13="","",IFERROR(IF($AU13="None required","—",$AB13&amp;" "&amp;INDEX(Tables!$B$31:$B$37,MATCH($AA13-0.001,Tables!$A$31:$A$37,1))),"—"))</f>
        <v/>
      </c>
      <c r="AW13" s="77" t="str">
        <f t="shared" si="8"/>
        <v/>
      </c>
    </row>
    <row r="14" spans="1:49" ht="18" customHeight="1" x14ac:dyDescent="0.35">
      <c r="A14" s="54"/>
      <c r="B14" s="55"/>
      <c r="C14" s="54"/>
      <c r="D14" s="54"/>
      <c r="E14" s="54"/>
      <c r="F14" s="54"/>
      <c r="G14" s="56"/>
      <c r="H14" s="57"/>
      <c r="I14" s="57"/>
      <c r="J14" s="58"/>
      <c r="K14" s="56"/>
      <c r="L14" s="56"/>
      <c r="M14" s="56"/>
      <c r="N14" s="56"/>
      <c r="O14" s="56"/>
      <c r="P14" s="56"/>
      <c r="Q14" s="59"/>
      <c r="R14" s="57"/>
      <c r="S14" s="57"/>
      <c r="T14" s="54"/>
      <c r="U14" s="60" t="str">
        <f>IF($C14="","",IFERROR(IF(INDEX(Substances!$C$2:$C$60,MATCH($C14,Substances!$A$2:$A$60,0))="","",INDEX(Substances!$C$2:$C$60,MATCH($C14,Substances!$A$2:$A$60,0))),"—"))</f>
        <v/>
      </c>
      <c r="V14" s="61" t="str">
        <f>IF($C14="","",IFERROR(IF(INDEX(Substances!$D$2:$D$60,MATCH($C14,Substances!$A$2:$A$60,0))="","",INDEX(Substances!$D$2:$D$60,MATCH($C14,Substances!$A$2:$A$60,0))),"—"))</f>
        <v/>
      </c>
      <c r="W14" s="60" t="str">
        <f>IF($C14="","",IFERROR(IF(INDEX(Substances!$F$2:$F$60,MATCH($C14,Substances!$A$2:$A$60,0))="","",INDEX(Substances!$F$2:$F$60,MATCH($C14,Substances!$A$2:$A$60,0))),"—"))</f>
        <v/>
      </c>
      <c r="X14" s="62" t="str">
        <f>IF($C14="","",IFERROR(IF(INDEX(Substances!$G$2:$G$60,MATCH($C14,Substances!$A$2:$A$60,0))="","",INDEX(Substances!$G$2:$G$60,MATCH($C14,Substances!$A$2:$A$60,0))),"—"))</f>
        <v/>
      </c>
      <c r="Y14" s="61" t="str">
        <f>IF($C14="","",IFERROR(IF(INDEX(Substances!$H$2:$H$60,MATCH($C14,Substances!$A$2:$A$60,0))="","",INDEX(Substances!$H$2:$H$60,MATCH($C14,Substances!$A$2:$A$60,0))),"—"))</f>
        <v/>
      </c>
      <c r="Z14" s="62" t="str">
        <f>IF($C14="","",IFERROR(IF(INDEX(Substances!$I$2:$I$60,MATCH($C14,Substances!$A$2:$A$60,0))="","",INDEX(Substances!$I$2:$I$60,MATCH($C14,Substances!$A$2:$A$60,0))),"—"))</f>
        <v/>
      </c>
      <c r="AA14" s="62" t="str">
        <f>IF($C14="","",IFERROR(IF(INDEX(Substances!$J$2:$J$60,MATCH($C14,Substances!$A$2:$A$60,0))="","",INDEX(Substances!$J$2:$J$60,MATCH($C14,Substances!$A$2:$A$60,0))),"—"))</f>
        <v/>
      </c>
      <c r="AB14" s="63" t="str">
        <f>IF($C14="","",IFERROR(IF(INDEX(Substances!$K$2:$K$60,MATCH($C14,Substances!$A$2:$A$60,0))="","",INDEX(Substances!$K$2:$K$60,MATCH($C14,Substances!$A$2:$A$60,0))),"—"))</f>
        <v/>
      </c>
      <c r="AC14" s="60" t="str">
        <f t="shared" si="0"/>
        <v/>
      </c>
      <c r="AD14" s="64" t="str">
        <f>IF($C14="","",IFERROR(N($G14)*100000+Tables!$B$4,"—"))</f>
        <v/>
      </c>
      <c r="AE14" s="65" t="str">
        <f t="shared" si="1"/>
        <v/>
      </c>
      <c r="AF14" s="65" t="str">
        <f t="shared" si="2"/>
        <v/>
      </c>
      <c r="AG14" s="64" t="str">
        <f>IF($C14="","",IFERROR(IF($D14="Gas/vapour jet",Tables!$B$4*(($W14+1)/2)^($W14/($W14-1)),"n/a"),"—"))</f>
        <v/>
      </c>
      <c r="AH14" s="66" t="str">
        <f t="shared" si="3"/>
        <v/>
      </c>
      <c r="AI14" s="67" t="str">
        <f>IF($C14="","",IFERROR(IF($D14="Gas/vapour jet","n/a",MIN(101.325,IF($P14&lt;&gt;"",$P14,IF(N(INDEX(Substances!$L$2:$L$60,MATCH($C14,Substances!$A$2:$A$60,0)))&lt;&gt;0,0.133322*10^(INDEX(Substances!$L$2:$L$60,MATCH($C14,Substances!$A$2:$A$60,0))-INDEX(Substances!$M$2:$M$60,MATCH($C14,Substances!$A$2:$A$60,0))/(INDEX(Substances!$N$2:$N$60,MATCH($C14,Substances!$A$2:$A$60,0))+$H14)),101.325*EXP(10.58*(1-($Y14+273.15)/$AE14)))))),"—"))</f>
        <v/>
      </c>
      <c r="AJ14" s="68" t="str">
        <f t="shared" si="4"/>
        <v/>
      </c>
      <c r="AK14" s="69" t="str">
        <f>IF($C14="","",IFERROR(IF($D14="Gas/vapour jet",IF($AH14="Choked",$K14*$J14*0.000001*$AD14*SQRT($W14*$U14/($L14*Tables!$B$5*$AE14)*(2/($W14+1))^(($W14+1)/($W14-1))),$K14*$J14*0.000001*$AD14*SQRT($U14/($L14*Tables!$B$5*$AE14)*(2*$W14/($W14-1))*(1-(Tables!$B$4/$AD14)^(($W14-1)/$W14))*(Tables!$B$4/$AD14)^(2/$W14))),IF($D14="Liquid jet",$AJ14*IF($M14&lt;&gt;"",$M14,IF($H14&gt;=$Y14,1,0)),6.55*$O14^0.78*$N14*$AI14*$U14^0.667/(Tables!$B$5*$AE14))),"—"))</f>
        <v/>
      </c>
      <c r="AL14" s="70" t="str">
        <f>IF($C14="","",IFERROR(Tables!$B$10*$U14*$V14,"—"))</f>
        <v/>
      </c>
      <c r="AM14" s="67" t="str">
        <f>IF($C14="","",IFERROR(INDEX(Tables!$B$15:$B$17,MATCH($E14,Tables!$A$15:$A$17,0)),"—"))</f>
        <v/>
      </c>
      <c r="AN14" s="68" t="str">
        <f>IF($C14="","",IFERROR($AK14/($AM14*$AL14)*$AF14/Tables!$B$9,"—"))</f>
        <v/>
      </c>
      <c r="AO14" s="70" t="str">
        <f>IF($C14="","",IFERROR(IF($F14="Outdoor",Tables!$B$8,$R14/3600),"—"))</f>
        <v/>
      </c>
      <c r="AP14" s="71" t="str">
        <f t="shared" si="5"/>
        <v/>
      </c>
      <c r="AQ14" s="72" t="str">
        <f>IF($C14="","",IFERROR(IF($AP14&lt;Tables!$B$7,"High",IF($F14="Outdoor","Medium",IF($AP14&lt;$Q14,"Medium","Low"))),"—"))</f>
        <v/>
      </c>
      <c r="AR14" s="73" t="str">
        <f>IF($C14="","",IFERROR(-$S14/$AO14*LN($V14*$AM14/Tables!$B$6)/60,"—"))</f>
        <v/>
      </c>
      <c r="AS14" s="74" t="str">
        <f>IF($C14="","",IFERROR(INDEX(Tables!$B$22:$J$24,MATCH($E14,Tables!$A$22:$A$24,0),MATCH($AQ14&amp;"-"&amp;$T14,Tables!$B$21:$J$21,0)),"—"))</f>
        <v/>
      </c>
      <c r="AT14" s="75" t="str">
        <f t="shared" si="6"/>
        <v/>
      </c>
      <c r="AU14" s="76" t="str">
        <f t="shared" si="7"/>
        <v/>
      </c>
      <c r="AV14" s="72" t="str">
        <f>IF($C14="","",IFERROR(IF($AU14="None required","—",$AB14&amp;" "&amp;INDEX(Tables!$B$31:$B$37,MATCH($AA14-0.001,Tables!$A$31:$A$37,1))),"—"))</f>
        <v/>
      </c>
      <c r="AW14" s="77" t="str">
        <f t="shared" si="8"/>
        <v/>
      </c>
    </row>
    <row r="15" spans="1:49" ht="18" customHeight="1" x14ac:dyDescent="0.35">
      <c r="A15" s="54"/>
      <c r="B15" s="55"/>
      <c r="C15" s="54"/>
      <c r="D15" s="54"/>
      <c r="E15" s="54"/>
      <c r="F15" s="54"/>
      <c r="G15" s="56"/>
      <c r="H15" s="57"/>
      <c r="I15" s="57"/>
      <c r="J15" s="58"/>
      <c r="K15" s="56"/>
      <c r="L15" s="56"/>
      <c r="M15" s="56"/>
      <c r="N15" s="56"/>
      <c r="O15" s="56"/>
      <c r="P15" s="56"/>
      <c r="Q15" s="59"/>
      <c r="R15" s="57"/>
      <c r="S15" s="57"/>
      <c r="T15" s="54"/>
      <c r="U15" s="60" t="str">
        <f>IF($C15="","",IFERROR(IF(INDEX(Substances!$C$2:$C$60,MATCH($C15,Substances!$A$2:$A$60,0))="","",INDEX(Substances!$C$2:$C$60,MATCH($C15,Substances!$A$2:$A$60,0))),"—"))</f>
        <v/>
      </c>
      <c r="V15" s="61" t="str">
        <f>IF($C15="","",IFERROR(IF(INDEX(Substances!$D$2:$D$60,MATCH($C15,Substances!$A$2:$A$60,0))="","",INDEX(Substances!$D$2:$D$60,MATCH($C15,Substances!$A$2:$A$60,0))),"—"))</f>
        <v/>
      </c>
      <c r="W15" s="60" t="str">
        <f>IF($C15="","",IFERROR(IF(INDEX(Substances!$F$2:$F$60,MATCH($C15,Substances!$A$2:$A$60,0))="","",INDEX(Substances!$F$2:$F$60,MATCH($C15,Substances!$A$2:$A$60,0))),"—"))</f>
        <v/>
      </c>
      <c r="X15" s="62" t="str">
        <f>IF($C15="","",IFERROR(IF(INDEX(Substances!$G$2:$G$60,MATCH($C15,Substances!$A$2:$A$60,0))="","",INDEX(Substances!$G$2:$G$60,MATCH($C15,Substances!$A$2:$A$60,0))),"—"))</f>
        <v/>
      </c>
      <c r="Y15" s="61" t="str">
        <f>IF($C15="","",IFERROR(IF(INDEX(Substances!$H$2:$H$60,MATCH($C15,Substances!$A$2:$A$60,0))="","",INDEX(Substances!$H$2:$H$60,MATCH($C15,Substances!$A$2:$A$60,0))),"—"))</f>
        <v/>
      </c>
      <c r="Z15" s="62" t="str">
        <f>IF($C15="","",IFERROR(IF(INDEX(Substances!$I$2:$I$60,MATCH($C15,Substances!$A$2:$A$60,0))="","",INDEX(Substances!$I$2:$I$60,MATCH($C15,Substances!$A$2:$A$60,0))),"—"))</f>
        <v/>
      </c>
      <c r="AA15" s="62" t="str">
        <f>IF($C15="","",IFERROR(IF(INDEX(Substances!$J$2:$J$60,MATCH($C15,Substances!$A$2:$A$60,0))="","",INDEX(Substances!$J$2:$J$60,MATCH($C15,Substances!$A$2:$A$60,0))),"—"))</f>
        <v/>
      </c>
      <c r="AB15" s="63" t="str">
        <f>IF($C15="","",IFERROR(IF(INDEX(Substances!$K$2:$K$60,MATCH($C15,Substances!$A$2:$A$60,0))="","",INDEX(Substances!$K$2:$K$60,MATCH($C15,Substances!$A$2:$A$60,0))),"—"))</f>
        <v/>
      </c>
      <c r="AC15" s="60" t="str">
        <f t="shared" si="0"/>
        <v/>
      </c>
      <c r="AD15" s="64" t="str">
        <f>IF($C15="","",IFERROR(N($G15)*100000+Tables!$B$4,"—"))</f>
        <v/>
      </c>
      <c r="AE15" s="65" t="str">
        <f t="shared" si="1"/>
        <v/>
      </c>
      <c r="AF15" s="65" t="str">
        <f t="shared" si="2"/>
        <v/>
      </c>
      <c r="AG15" s="64" t="str">
        <f>IF($C15="","",IFERROR(IF($D15="Gas/vapour jet",Tables!$B$4*(($W15+1)/2)^($W15/($W15-1)),"n/a"),"—"))</f>
        <v/>
      </c>
      <c r="AH15" s="66" t="str">
        <f t="shared" si="3"/>
        <v/>
      </c>
      <c r="AI15" s="67" t="str">
        <f>IF($C15="","",IFERROR(IF($D15="Gas/vapour jet","n/a",MIN(101.325,IF($P15&lt;&gt;"",$P15,IF(N(INDEX(Substances!$L$2:$L$60,MATCH($C15,Substances!$A$2:$A$60,0)))&lt;&gt;0,0.133322*10^(INDEX(Substances!$L$2:$L$60,MATCH($C15,Substances!$A$2:$A$60,0))-INDEX(Substances!$M$2:$M$60,MATCH($C15,Substances!$A$2:$A$60,0))/(INDEX(Substances!$N$2:$N$60,MATCH($C15,Substances!$A$2:$A$60,0))+$H15)),101.325*EXP(10.58*(1-($Y15+273.15)/$AE15)))))),"—"))</f>
        <v/>
      </c>
      <c r="AJ15" s="68" t="str">
        <f t="shared" si="4"/>
        <v/>
      </c>
      <c r="AK15" s="69" t="str">
        <f>IF($C15="","",IFERROR(IF($D15="Gas/vapour jet",IF($AH15="Choked",$K15*$J15*0.000001*$AD15*SQRT($W15*$U15/($L15*Tables!$B$5*$AE15)*(2/($W15+1))^(($W15+1)/($W15-1))),$K15*$J15*0.000001*$AD15*SQRT($U15/($L15*Tables!$B$5*$AE15)*(2*$W15/($W15-1))*(1-(Tables!$B$4/$AD15)^(($W15-1)/$W15))*(Tables!$B$4/$AD15)^(2/$W15))),IF($D15="Liquid jet",$AJ15*IF($M15&lt;&gt;"",$M15,IF($H15&gt;=$Y15,1,0)),6.55*$O15^0.78*$N15*$AI15*$U15^0.667/(Tables!$B$5*$AE15))),"—"))</f>
        <v/>
      </c>
      <c r="AL15" s="70" t="str">
        <f>IF($C15="","",IFERROR(Tables!$B$10*$U15*$V15,"—"))</f>
        <v/>
      </c>
      <c r="AM15" s="67" t="str">
        <f>IF($C15="","",IFERROR(INDEX(Tables!$B$15:$B$17,MATCH($E15,Tables!$A$15:$A$17,0)),"—"))</f>
        <v/>
      </c>
      <c r="AN15" s="68" t="str">
        <f>IF($C15="","",IFERROR($AK15/($AM15*$AL15)*$AF15/Tables!$B$9,"—"))</f>
        <v/>
      </c>
      <c r="AO15" s="70" t="str">
        <f>IF($C15="","",IFERROR(IF($F15="Outdoor",Tables!$B$8,$R15/3600),"—"))</f>
        <v/>
      </c>
      <c r="AP15" s="71" t="str">
        <f t="shared" si="5"/>
        <v/>
      </c>
      <c r="AQ15" s="72" t="str">
        <f>IF($C15="","",IFERROR(IF($AP15&lt;Tables!$B$7,"High",IF($F15="Outdoor","Medium",IF($AP15&lt;$Q15,"Medium","Low"))),"—"))</f>
        <v/>
      </c>
      <c r="AR15" s="73" t="str">
        <f>IF($C15="","",IFERROR(-$S15/$AO15*LN($V15*$AM15/Tables!$B$6)/60,"—"))</f>
        <v/>
      </c>
      <c r="AS15" s="74" t="str">
        <f>IF($C15="","",IFERROR(INDEX(Tables!$B$22:$J$24,MATCH($E15,Tables!$A$22:$A$24,0),MATCH($AQ15&amp;"-"&amp;$T15,Tables!$B$21:$J$21,0)),"—"))</f>
        <v/>
      </c>
      <c r="AT15" s="75" t="str">
        <f t="shared" si="6"/>
        <v/>
      </c>
      <c r="AU15" s="76" t="str">
        <f t="shared" si="7"/>
        <v/>
      </c>
      <c r="AV15" s="72" t="str">
        <f>IF($C15="","",IFERROR(IF($AU15="None required","—",$AB15&amp;" "&amp;INDEX(Tables!$B$31:$B$37,MATCH($AA15-0.001,Tables!$A$31:$A$37,1))),"—"))</f>
        <v/>
      </c>
      <c r="AW15" s="77" t="str">
        <f t="shared" si="8"/>
        <v/>
      </c>
    </row>
    <row r="16" spans="1:49" ht="18" customHeight="1" x14ac:dyDescent="0.35">
      <c r="A16" s="54"/>
      <c r="B16" s="55"/>
      <c r="C16" s="54"/>
      <c r="D16" s="54"/>
      <c r="E16" s="54"/>
      <c r="F16" s="54"/>
      <c r="G16" s="56"/>
      <c r="H16" s="57"/>
      <c r="I16" s="57"/>
      <c r="J16" s="58"/>
      <c r="K16" s="56"/>
      <c r="L16" s="56"/>
      <c r="M16" s="56"/>
      <c r="N16" s="56"/>
      <c r="O16" s="56"/>
      <c r="P16" s="56"/>
      <c r="Q16" s="59"/>
      <c r="R16" s="57"/>
      <c r="S16" s="57"/>
      <c r="T16" s="54"/>
      <c r="U16" s="60" t="str">
        <f>IF($C16="","",IFERROR(IF(INDEX(Substances!$C$2:$C$60,MATCH($C16,Substances!$A$2:$A$60,0))="","",INDEX(Substances!$C$2:$C$60,MATCH($C16,Substances!$A$2:$A$60,0))),"—"))</f>
        <v/>
      </c>
      <c r="V16" s="61" t="str">
        <f>IF($C16="","",IFERROR(IF(INDEX(Substances!$D$2:$D$60,MATCH($C16,Substances!$A$2:$A$60,0))="","",INDEX(Substances!$D$2:$D$60,MATCH($C16,Substances!$A$2:$A$60,0))),"—"))</f>
        <v/>
      </c>
      <c r="W16" s="60" t="str">
        <f>IF($C16="","",IFERROR(IF(INDEX(Substances!$F$2:$F$60,MATCH($C16,Substances!$A$2:$A$60,0))="","",INDEX(Substances!$F$2:$F$60,MATCH($C16,Substances!$A$2:$A$60,0))),"—"))</f>
        <v/>
      </c>
      <c r="X16" s="62" t="str">
        <f>IF($C16="","",IFERROR(IF(INDEX(Substances!$G$2:$G$60,MATCH($C16,Substances!$A$2:$A$60,0))="","",INDEX(Substances!$G$2:$G$60,MATCH($C16,Substances!$A$2:$A$60,0))),"—"))</f>
        <v/>
      </c>
      <c r="Y16" s="61" t="str">
        <f>IF($C16="","",IFERROR(IF(INDEX(Substances!$H$2:$H$60,MATCH($C16,Substances!$A$2:$A$60,0))="","",INDEX(Substances!$H$2:$H$60,MATCH($C16,Substances!$A$2:$A$60,0))),"—"))</f>
        <v/>
      </c>
      <c r="Z16" s="62" t="str">
        <f>IF($C16="","",IFERROR(IF(INDEX(Substances!$I$2:$I$60,MATCH($C16,Substances!$A$2:$A$60,0))="","",INDEX(Substances!$I$2:$I$60,MATCH($C16,Substances!$A$2:$A$60,0))),"—"))</f>
        <v/>
      </c>
      <c r="AA16" s="62" t="str">
        <f>IF($C16="","",IFERROR(IF(INDEX(Substances!$J$2:$J$60,MATCH($C16,Substances!$A$2:$A$60,0))="","",INDEX(Substances!$J$2:$J$60,MATCH($C16,Substances!$A$2:$A$60,0))),"—"))</f>
        <v/>
      </c>
      <c r="AB16" s="63" t="str">
        <f>IF($C16="","",IFERROR(IF(INDEX(Substances!$K$2:$K$60,MATCH($C16,Substances!$A$2:$A$60,0))="","",INDEX(Substances!$K$2:$K$60,MATCH($C16,Substances!$A$2:$A$60,0))),"—"))</f>
        <v/>
      </c>
      <c r="AC16" s="60" t="str">
        <f t="shared" si="0"/>
        <v/>
      </c>
      <c r="AD16" s="64" t="str">
        <f>IF($C16="","",IFERROR(N($G16)*100000+Tables!$B$4,"—"))</f>
        <v/>
      </c>
      <c r="AE16" s="65" t="str">
        <f t="shared" si="1"/>
        <v/>
      </c>
      <c r="AF16" s="65" t="str">
        <f t="shared" si="2"/>
        <v/>
      </c>
      <c r="AG16" s="64" t="str">
        <f>IF($C16="","",IFERROR(IF($D16="Gas/vapour jet",Tables!$B$4*(($W16+1)/2)^($W16/($W16-1)),"n/a"),"—"))</f>
        <v/>
      </c>
      <c r="AH16" s="66" t="str">
        <f t="shared" si="3"/>
        <v/>
      </c>
      <c r="AI16" s="67" t="str">
        <f>IF($C16="","",IFERROR(IF($D16="Gas/vapour jet","n/a",MIN(101.325,IF($P16&lt;&gt;"",$P16,IF(N(INDEX(Substances!$L$2:$L$60,MATCH($C16,Substances!$A$2:$A$60,0)))&lt;&gt;0,0.133322*10^(INDEX(Substances!$L$2:$L$60,MATCH($C16,Substances!$A$2:$A$60,0))-INDEX(Substances!$M$2:$M$60,MATCH($C16,Substances!$A$2:$A$60,0))/(INDEX(Substances!$N$2:$N$60,MATCH($C16,Substances!$A$2:$A$60,0))+$H16)),101.325*EXP(10.58*(1-($Y16+273.15)/$AE16)))))),"—"))</f>
        <v/>
      </c>
      <c r="AJ16" s="68" t="str">
        <f t="shared" si="4"/>
        <v/>
      </c>
      <c r="AK16" s="69" t="str">
        <f>IF($C16="","",IFERROR(IF($D16="Gas/vapour jet",IF($AH16="Choked",$K16*$J16*0.000001*$AD16*SQRT($W16*$U16/($L16*Tables!$B$5*$AE16)*(2/($W16+1))^(($W16+1)/($W16-1))),$K16*$J16*0.000001*$AD16*SQRT($U16/($L16*Tables!$B$5*$AE16)*(2*$W16/($W16-1))*(1-(Tables!$B$4/$AD16)^(($W16-1)/$W16))*(Tables!$B$4/$AD16)^(2/$W16))),IF($D16="Liquid jet",$AJ16*IF($M16&lt;&gt;"",$M16,IF($H16&gt;=$Y16,1,0)),6.55*$O16^0.78*$N16*$AI16*$U16^0.667/(Tables!$B$5*$AE16))),"—"))</f>
        <v/>
      </c>
      <c r="AL16" s="70" t="str">
        <f>IF($C16="","",IFERROR(Tables!$B$10*$U16*$V16,"—"))</f>
        <v/>
      </c>
      <c r="AM16" s="67" t="str">
        <f>IF($C16="","",IFERROR(INDEX(Tables!$B$15:$B$17,MATCH($E16,Tables!$A$15:$A$17,0)),"—"))</f>
        <v/>
      </c>
      <c r="AN16" s="68" t="str">
        <f>IF($C16="","",IFERROR($AK16/($AM16*$AL16)*$AF16/Tables!$B$9,"—"))</f>
        <v/>
      </c>
      <c r="AO16" s="70" t="str">
        <f>IF($C16="","",IFERROR(IF($F16="Outdoor",Tables!$B$8,$R16/3600),"—"))</f>
        <v/>
      </c>
      <c r="AP16" s="71" t="str">
        <f t="shared" si="5"/>
        <v/>
      </c>
      <c r="AQ16" s="72" t="str">
        <f>IF($C16="","",IFERROR(IF($AP16&lt;Tables!$B$7,"High",IF($F16="Outdoor","Medium",IF($AP16&lt;$Q16,"Medium","Low"))),"—"))</f>
        <v/>
      </c>
      <c r="AR16" s="73" t="str">
        <f>IF($C16="","",IFERROR(-$S16/$AO16*LN($V16*$AM16/Tables!$B$6)/60,"—"))</f>
        <v/>
      </c>
      <c r="AS16" s="74" t="str">
        <f>IF($C16="","",IFERROR(INDEX(Tables!$B$22:$J$24,MATCH($E16,Tables!$A$22:$A$24,0),MATCH($AQ16&amp;"-"&amp;$T16,Tables!$B$21:$J$21,0)),"—"))</f>
        <v/>
      </c>
      <c r="AT16" s="75" t="str">
        <f t="shared" si="6"/>
        <v/>
      </c>
      <c r="AU16" s="76" t="str">
        <f t="shared" si="7"/>
        <v/>
      </c>
      <c r="AV16" s="72" t="str">
        <f>IF($C16="","",IFERROR(IF($AU16="None required","—",$AB16&amp;" "&amp;INDEX(Tables!$B$31:$B$37,MATCH($AA16-0.001,Tables!$A$31:$A$37,1))),"—"))</f>
        <v/>
      </c>
      <c r="AW16" s="77" t="str">
        <f t="shared" si="8"/>
        <v/>
      </c>
    </row>
    <row r="17" spans="1:49" ht="18" customHeight="1" x14ac:dyDescent="0.35">
      <c r="A17" s="54"/>
      <c r="B17" s="55"/>
      <c r="C17" s="54"/>
      <c r="D17" s="54"/>
      <c r="E17" s="54"/>
      <c r="F17" s="54"/>
      <c r="G17" s="56"/>
      <c r="H17" s="57"/>
      <c r="I17" s="57"/>
      <c r="J17" s="58"/>
      <c r="K17" s="56"/>
      <c r="L17" s="56"/>
      <c r="M17" s="56"/>
      <c r="N17" s="56"/>
      <c r="O17" s="56"/>
      <c r="P17" s="56"/>
      <c r="Q17" s="59"/>
      <c r="R17" s="57"/>
      <c r="S17" s="57"/>
      <c r="T17" s="54"/>
      <c r="U17" s="60" t="str">
        <f>IF($C17="","",IFERROR(IF(INDEX(Substances!$C$2:$C$60,MATCH($C17,Substances!$A$2:$A$60,0))="","",INDEX(Substances!$C$2:$C$60,MATCH($C17,Substances!$A$2:$A$60,0))),"—"))</f>
        <v/>
      </c>
      <c r="V17" s="61" t="str">
        <f>IF($C17="","",IFERROR(IF(INDEX(Substances!$D$2:$D$60,MATCH($C17,Substances!$A$2:$A$60,0))="","",INDEX(Substances!$D$2:$D$60,MATCH($C17,Substances!$A$2:$A$60,0))),"—"))</f>
        <v/>
      </c>
      <c r="W17" s="60" t="str">
        <f>IF($C17="","",IFERROR(IF(INDEX(Substances!$F$2:$F$60,MATCH($C17,Substances!$A$2:$A$60,0))="","",INDEX(Substances!$F$2:$F$60,MATCH($C17,Substances!$A$2:$A$60,0))),"—"))</f>
        <v/>
      </c>
      <c r="X17" s="62" t="str">
        <f>IF($C17="","",IFERROR(IF(INDEX(Substances!$G$2:$G$60,MATCH($C17,Substances!$A$2:$A$60,0))="","",INDEX(Substances!$G$2:$G$60,MATCH($C17,Substances!$A$2:$A$60,0))),"—"))</f>
        <v/>
      </c>
      <c r="Y17" s="61" t="str">
        <f>IF($C17="","",IFERROR(IF(INDEX(Substances!$H$2:$H$60,MATCH($C17,Substances!$A$2:$A$60,0))="","",INDEX(Substances!$H$2:$H$60,MATCH($C17,Substances!$A$2:$A$60,0))),"—"))</f>
        <v/>
      </c>
      <c r="Z17" s="62" t="str">
        <f>IF($C17="","",IFERROR(IF(INDEX(Substances!$I$2:$I$60,MATCH($C17,Substances!$A$2:$A$60,0))="","",INDEX(Substances!$I$2:$I$60,MATCH($C17,Substances!$A$2:$A$60,0))),"—"))</f>
        <v/>
      </c>
      <c r="AA17" s="62" t="str">
        <f>IF($C17="","",IFERROR(IF(INDEX(Substances!$J$2:$J$60,MATCH($C17,Substances!$A$2:$A$60,0))="","",INDEX(Substances!$J$2:$J$60,MATCH($C17,Substances!$A$2:$A$60,0))),"—"))</f>
        <v/>
      </c>
      <c r="AB17" s="63" t="str">
        <f>IF($C17="","",IFERROR(IF(INDEX(Substances!$K$2:$K$60,MATCH($C17,Substances!$A$2:$A$60,0))="","",INDEX(Substances!$K$2:$K$60,MATCH($C17,Substances!$A$2:$A$60,0))),"—"))</f>
        <v/>
      </c>
      <c r="AC17" s="60" t="str">
        <f t="shared" si="0"/>
        <v/>
      </c>
      <c r="AD17" s="64" t="str">
        <f>IF($C17="","",IFERROR(N($G17)*100000+Tables!$B$4,"—"))</f>
        <v/>
      </c>
      <c r="AE17" s="65" t="str">
        <f t="shared" si="1"/>
        <v/>
      </c>
      <c r="AF17" s="65" t="str">
        <f t="shared" si="2"/>
        <v/>
      </c>
      <c r="AG17" s="64" t="str">
        <f>IF($C17="","",IFERROR(IF($D17="Gas/vapour jet",Tables!$B$4*(($W17+1)/2)^($W17/($W17-1)),"n/a"),"—"))</f>
        <v/>
      </c>
      <c r="AH17" s="66" t="str">
        <f t="shared" si="3"/>
        <v/>
      </c>
      <c r="AI17" s="67" t="str">
        <f>IF($C17="","",IFERROR(IF($D17="Gas/vapour jet","n/a",MIN(101.325,IF($P17&lt;&gt;"",$P17,IF(N(INDEX(Substances!$L$2:$L$60,MATCH($C17,Substances!$A$2:$A$60,0)))&lt;&gt;0,0.133322*10^(INDEX(Substances!$L$2:$L$60,MATCH($C17,Substances!$A$2:$A$60,0))-INDEX(Substances!$M$2:$M$60,MATCH($C17,Substances!$A$2:$A$60,0))/(INDEX(Substances!$N$2:$N$60,MATCH($C17,Substances!$A$2:$A$60,0))+$H17)),101.325*EXP(10.58*(1-($Y17+273.15)/$AE17)))))),"—"))</f>
        <v/>
      </c>
      <c r="AJ17" s="68" t="str">
        <f t="shared" si="4"/>
        <v/>
      </c>
      <c r="AK17" s="69" t="str">
        <f>IF($C17="","",IFERROR(IF($D17="Gas/vapour jet",IF($AH17="Choked",$K17*$J17*0.000001*$AD17*SQRT($W17*$U17/($L17*Tables!$B$5*$AE17)*(2/($W17+1))^(($W17+1)/($W17-1))),$K17*$J17*0.000001*$AD17*SQRT($U17/($L17*Tables!$B$5*$AE17)*(2*$W17/($W17-1))*(1-(Tables!$B$4/$AD17)^(($W17-1)/$W17))*(Tables!$B$4/$AD17)^(2/$W17))),IF($D17="Liquid jet",$AJ17*IF($M17&lt;&gt;"",$M17,IF($H17&gt;=$Y17,1,0)),6.55*$O17^0.78*$N17*$AI17*$U17^0.667/(Tables!$B$5*$AE17))),"—"))</f>
        <v/>
      </c>
      <c r="AL17" s="70" t="str">
        <f>IF($C17="","",IFERROR(Tables!$B$10*$U17*$V17,"—"))</f>
        <v/>
      </c>
      <c r="AM17" s="67" t="str">
        <f>IF($C17="","",IFERROR(INDEX(Tables!$B$15:$B$17,MATCH($E17,Tables!$A$15:$A$17,0)),"—"))</f>
        <v/>
      </c>
      <c r="AN17" s="68" t="str">
        <f>IF($C17="","",IFERROR($AK17/($AM17*$AL17)*$AF17/Tables!$B$9,"—"))</f>
        <v/>
      </c>
      <c r="AO17" s="70" t="str">
        <f>IF($C17="","",IFERROR(IF($F17="Outdoor",Tables!$B$8,$R17/3600),"—"))</f>
        <v/>
      </c>
      <c r="AP17" s="71" t="str">
        <f t="shared" si="5"/>
        <v/>
      </c>
      <c r="AQ17" s="72" t="str">
        <f>IF($C17="","",IFERROR(IF($AP17&lt;Tables!$B$7,"High",IF($F17="Outdoor","Medium",IF($AP17&lt;$Q17,"Medium","Low"))),"—"))</f>
        <v/>
      </c>
      <c r="AR17" s="73" t="str">
        <f>IF($C17="","",IFERROR(-$S17/$AO17*LN($V17*$AM17/Tables!$B$6)/60,"—"))</f>
        <v/>
      </c>
      <c r="AS17" s="74" t="str">
        <f>IF($C17="","",IFERROR(INDEX(Tables!$B$22:$J$24,MATCH($E17,Tables!$A$22:$A$24,0),MATCH($AQ17&amp;"-"&amp;$T17,Tables!$B$21:$J$21,0)),"—"))</f>
        <v/>
      </c>
      <c r="AT17" s="75" t="str">
        <f t="shared" si="6"/>
        <v/>
      </c>
      <c r="AU17" s="76" t="str">
        <f t="shared" si="7"/>
        <v/>
      </c>
      <c r="AV17" s="72" t="str">
        <f>IF($C17="","",IFERROR(IF($AU17="None required","—",$AB17&amp;" "&amp;INDEX(Tables!$B$31:$B$37,MATCH($AA17-0.001,Tables!$A$31:$A$37,1))),"—"))</f>
        <v/>
      </c>
      <c r="AW17" s="77" t="str">
        <f t="shared" si="8"/>
        <v/>
      </c>
    </row>
    <row r="18" spans="1:49" ht="18" customHeight="1" x14ac:dyDescent="0.35">
      <c r="A18" s="54"/>
      <c r="B18" s="55"/>
      <c r="C18" s="54"/>
      <c r="D18" s="54"/>
      <c r="E18" s="54"/>
      <c r="F18" s="54"/>
      <c r="G18" s="56"/>
      <c r="H18" s="57"/>
      <c r="I18" s="57"/>
      <c r="J18" s="58"/>
      <c r="K18" s="56"/>
      <c r="L18" s="56"/>
      <c r="M18" s="56"/>
      <c r="N18" s="56"/>
      <c r="O18" s="56"/>
      <c r="P18" s="56"/>
      <c r="Q18" s="59"/>
      <c r="R18" s="57"/>
      <c r="S18" s="57"/>
      <c r="T18" s="54"/>
      <c r="U18" s="60" t="str">
        <f>IF($C18="","",IFERROR(IF(INDEX(Substances!$C$2:$C$60,MATCH($C18,Substances!$A$2:$A$60,0))="","",INDEX(Substances!$C$2:$C$60,MATCH($C18,Substances!$A$2:$A$60,0))),"—"))</f>
        <v/>
      </c>
      <c r="V18" s="61" t="str">
        <f>IF($C18="","",IFERROR(IF(INDEX(Substances!$D$2:$D$60,MATCH($C18,Substances!$A$2:$A$60,0))="","",INDEX(Substances!$D$2:$D$60,MATCH($C18,Substances!$A$2:$A$60,0))),"—"))</f>
        <v/>
      </c>
      <c r="W18" s="60" t="str">
        <f>IF($C18="","",IFERROR(IF(INDEX(Substances!$F$2:$F$60,MATCH($C18,Substances!$A$2:$A$60,0))="","",INDEX(Substances!$F$2:$F$60,MATCH($C18,Substances!$A$2:$A$60,0))),"—"))</f>
        <v/>
      </c>
      <c r="X18" s="62" t="str">
        <f>IF($C18="","",IFERROR(IF(INDEX(Substances!$G$2:$G$60,MATCH($C18,Substances!$A$2:$A$60,0))="","",INDEX(Substances!$G$2:$G$60,MATCH($C18,Substances!$A$2:$A$60,0))),"—"))</f>
        <v/>
      </c>
      <c r="Y18" s="61" t="str">
        <f>IF($C18="","",IFERROR(IF(INDEX(Substances!$H$2:$H$60,MATCH($C18,Substances!$A$2:$A$60,0))="","",INDEX(Substances!$H$2:$H$60,MATCH($C18,Substances!$A$2:$A$60,0))),"—"))</f>
        <v/>
      </c>
      <c r="Z18" s="62" t="str">
        <f>IF($C18="","",IFERROR(IF(INDEX(Substances!$I$2:$I$60,MATCH($C18,Substances!$A$2:$A$60,0))="","",INDEX(Substances!$I$2:$I$60,MATCH($C18,Substances!$A$2:$A$60,0))),"—"))</f>
        <v/>
      </c>
      <c r="AA18" s="62" t="str">
        <f>IF($C18="","",IFERROR(IF(INDEX(Substances!$J$2:$J$60,MATCH($C18,Substances!$A$2:$A$60,0))="","",INDEX(Substances!$J$2:$J$60,MATCH($C18,Substances!$A$2:$A$60,0))),"—"))</f>
        <v/>
      </c>
      <c r="AB18" s="63" t="str">
        <f>IF($C18="","",IFERROR(IF(INDEX(Substances!$K$2:$K$60,MATCH($C18,Substances!$A$2:$A$60,0))="","",INDEX(Substances!$K$2:$K$60,MATCH($C18,Substances!$A$2:$A$60,0))),"—"))</f>
        <v/>
      </c>
      <c r="AC18" s="60" t="str">
        <f t="shared" si="0"/>
        <v/>
      </c>
      <c r="AD18" s="64" t="str">
        <f>IF($C18="","",IFERROR(N($G18)*100000+Tables!$B$4,"—"))</f>
        <v/>
      </c>
      <c r="AE18" s="65" t="str">
        <f t="shared" si="1"/>
        <v/>
      </c>
      <c r="AF18" s="65" t="str">
        <f t="shared" si="2"/>
        <v/>
      </c>
      <c r="AG18" s="64" t="str">
        <f>IF($C18="","",IFERROR(IF($D18="Gas/vapour jet",Tables!$B$4*(($W18+1)/2)^($W18/($W18-1)),"n/a"),"—"))</f>
        <v/>
      </c>
      <c r="AH18" s="66" t="str">
        <f t="shared" si="3"/>
        <v/>
      </c>
      <c r="AI18" s="67" t="str">
        <f>IF($C18="","",IFERROR(IF($D18="Gas/vapour jet","n/a",MIN(101.325,IF($P18&lt;&gt;"",$P18,IF(N(INDEX(Substances!$L$2:$L$60,MATCH($C18,Substances!$A$2:$A$60,0)))&lt;&gt;0,0.133322*10^(INDEX(Substances!$L$2:$L$60,MATCH($C18,Substances!$A$2:$A$60,0))-INDEX(Substances!$M$2:$M$60,MATCH($C18,Substances!$A$2:$A$60,0))/(INDEX(Substances!$N$2:$N$60,MATCH($C18,Substances!$A$2:$A$60,0))+$H18)),101.325*EXP(10.58*(1-($Y18+273.15)/$AE18)))))),"—"))</f>
        <v/>
      </c>
      <c r="AJ18" s="68" t="str">
        <f t="shared" si="4"/>
        <v/>
      </c>
      <c r="AK18" s="69" t="str">
        <f>IF($C18="","",IFERROR(IF($D18="Gas/vapour jet",IF($AH18="Choked",$K18*$J18*0.000001*$AD18*SQRT($W18*$U18/($L18*Tables!$B$5*$AE18)*(2/($W18+1))^(($W18+1)/($W18-1))),$K18*$J18*0.000001*$AD18*SQRT($U18/($L18*Tables!$B$5*$AE18)*(2*$W18/($W18-1))*(1-(Tables!$B$4/$AD18)^(($W18-1)/$W18))*(Tables!$B$4/$AD18)^(2/$W18))),IF($D18="Liquid jet",$AJ18*IF($M18&lt;&gt;"",$M18,IF($H18&gt;=$Y18,1,0)),6.55*$O18^0.78*$N18*$AI18*$U18^0.667/(Tables!$B$5*$AE18))),"—"))</f>
        <v/>
      </c>
      <c r="AL18" s="70" t="str">
        <f>IF($C18="","",IFERROR(Tables!$B$10*$U18*$V18,"—"))</f>
        <v/>
      </c>
      <c r="AM18" s="67" t="str">
        <f>IF($C18="","",IFERROR(INDEX(Tables!$B$15:$B$17,MATCH($E18,Tables!$A$15:$A$17,0)),"—"))</f>
        <v/>
      </c>
      <c r="AN18" s="68" t="str">
        <f>IF($C18="","",IFERROR($AK18/($AM18*$AL18)*$AF18/Tables!$B$9,"—"))</f>
        <v/>
      </c>
      <c r="AO18" s="70" t="str">
        <f>IF($C18="","",IFERROR(IF($F18="Outdoor",Tables!$B$8,$R18/3600),"—"))</f>
        <v/>
      </c>
      <c r="AP18" s="71" t="str">
        <f t="shared" si="5"/>
        <v/>
      </c>
      <c r="AQ18" s="72" t="str">
        <f>IF($C18="","",IFERROR(IF($AP18&lt;Tables!$B$7,"High",IF($F18="Outdoor","Medium",IF($AP18&lt;$Q18,"Medium","Low"))),"—"))</f>
        <v/>
      </c>
      <c r="AR18" s="73" t="str">
        <f>IF($C18="","",IFERROR(-$S18/$AO18*LN($V18*$AM18/Tables!$B$6)/60,"—"))</f>
        <v/>
      </c>
      <c r="AS18" s="74" t="str">
        <f>IF($C18="","",IFERROR(INDEX(Tables!$B$22:$J$24,MATCH($E18,Tables!$A$22:$A$24,0),MATCH($AQ18&amp;"-"&amp;$T18,Tables!$B$21:$J$21,0)),"—"))</f>
        <v/>
      </c>
      <c r="AT18" s="75" t="str">
        <f t="shared" si="6"/>
        <v/>
      </c>
      <c r="AU18" s="76" t="str">
        <f t="shared" si="7"/>
        <v/>
      </c>
      <c r="AV18" s="72" t="str">
        <f>IF($C18="","",IFERROR(IF($AU18="None required","—",$AB18&amp;" "&amp;INDEX(Tables!$B$31:$B$37,MATCH($AA18-0.001,Tables!$A$31:$A$37,1))),"—"))</f>
        <v/>
      </c>
      <c r="AW18" s="77" t="str">
        <f t="shared" si="8"/>
        <v/>
      </c>
    </row>
    <row r="19" spans="1:49" ht="18" customHeight="1" x14ac:dyDescent="0.35">
      <c r="A19" s="54"/>
      <c r="B19" s="55"/>
      <c r="C19" s="54"/>
      <c r="D19" s="54"/>
      <c r="E19" s="54"/>
      <c r="F19" s="54"/>
      <c r="G19" s="56"/>
      <c r="H19" s="57"/>
      <c r="I19" s="57"/>
      <c r="J19" s="58"/>
      <c r="K19" s="56"/>
      <c r="L19" s="56"/>
      <c r="M19" s="56"/>
      <c r="N19" s="56"/>
      <c r="O19" s="56"/>
      <c r="P19" s="56"/>
      <c r="Q19" s="59"/>
      <c r="R19" s="57"/>
      <c r="S19" s="57"/>
      <c r="T19" s="54"/>
      <c r="U19" s="60" t="str">
        <f>IF($C19="","",IFERROR(IF(INDEX(Substances!$C$2:$C$60,MATCH($C19,Substances!$A$2:$A$60,0))="","",INDEX(Substances!$C$2:$C$60,MATCH($C19,Substances!$A$2:$A$60,0))),"—"))</f>
        <v/>
      </c>
      <c r="V19" s="61" t="str">
        <f>IF($C19="","",IFERROR(IF(INDEX(Substances!$D$2:$D$60,MATCH($C19,Substances!$A$2:$A$60,0))="","",INDEX(Substances!$D$2:$D$60,MATCH($C19,Substances!$A$2:$A$60,0))),"—"))</f>
        <v/>
      </c>
      <c r="W19" s="60" t="str">
        <f>IF($C19="","",IFERROR(IF(INDEX(Substances!$F$2:$F$60,MATCH($C19,Substances!$A$2:$A$60,0))="","",INDEX(Substances!$F$2:$F$60,MATCH($C19,Substances!$A$2:$A$60,0))),"—"))</f>
        <v/>
      </c>
      <c r="X19" s="62" t="str">
        <f>IF($C19="","",IFERROR(IF(INDEX(Substances!$G$2:$G$60,MATCH($C19,Substances!$A$2:$A$60,0))="","",INDEX(Substances!$G$2:$G$60,MATCH($C19,Substances!$A$2:$A$60,0))),"—"))</f>
        <v/>
      </c>
      <c r="Y19" s="61" t="str">
        <f>IF($C19="","",IFERROR(IF(INDEX(Substances!$H$2:$H$60,MATCH($C19,Substances!$A$2:$A$60,0))="","",INDEX(Substances!$H$2:$H$60,MATCH($C19,Substances!$A$2:$A$60,0))),"—"))</f>
        <v/>
      </c>
      <c r="Z19" s="62" t="str">
        <f>IF($C19="","",IFERROR(IF(INDEX(Substances!$I$2:$I$60,MATCH($C19,Substances!$A$2:$A$60,0))="","",INDEX(Substances!$I$2:$I$60,MATCH($C19,Substances!$A$2:$A$60,0))),"—"))</f>
        <v/>
      </c>
      <c r="AA19" s="62" t="str">
        <f>IF($C19="","",IFERROR(IF(INDEX(Substances!$J$2:$J$60,MATCH($C19,Substances!$A$2:$A$60,0))="","",INDEX(Substances!$J$2:$J$60,MATCH($C19,Substances!$A$2:$A$60,0))),"—"))</f>
        <v/>
      </c>
      <c r="AB19" s="63" t="str">
        <f>IF($C19="","",IFERROR(IF(INDEX(Substances!$K$2:$K$60,MATCH($C19,Substances!$A$2:$A$60,0))="","",INDEX(Substances!$K$2:$K$60,MATCH($C19,Substances!$A$2:$A$60,0))),"—"))</f>
        <v/>
      </c>
      <c r="AC19" s="60" t="str">
        <f t="shared" si="0"/>
        <v/>
      </c>
      <c r="AD19" s="64" t="str">
        <f>IF($C19="","",IFERROR(N($G19)*100000+Tables!$B$4,"—"))</f>
        <v/>
      </c>
      <c r="AE19" s="65" t="str">
        <f t="shared" si="1"/>
        <v/>
      </c>
      <c r="AF19" s="65" t="str">
        <f t="shared" si="2"/>
        <v/>
      </c>
      <c r="AG19" s="64" t="str">
        <f>IF($C19="","",IFERROR(IF($D19="Gas/vapour jet",Tables!$B$4*(($W19+1)/2)^($W19/($W19-1)),"n/a"),"—"))</f>
        <v/>
      </c>
      <c r="AH19" s="66" t="str">
        <f t="shared" si="3"/>
        <v/>
      </c>
      <c r="AI19" s="67" t="str">
        <f>IF($C19="","",IFERROR(IF($D19="Gas/vapour jet","n/a",MIN(101.325,IF($P19&lt;&gt;"",$P19,IF(N(INDEX(Substances!$L$2:$L$60,MATCH($C19,Substances!$A$2:$A$60,0)))&lt;&gt;0,0.133322*10^(INDEX(Substances!$L$2:$L$60,MATCH($C19,Substances!$A$2:$A$60,0))-INDEX(Substances!$M$2:$M$60,MATCH($C19,Substances!$A$2:$A$60,0))/(INDEX(Substances!$N$2:$N$60,MATCH($C19,Substances!$A$2:$A$60,0))+$H19)),101.325*EXP(10.58*(1-($Y19+273.15)/$AE19)))))),"—"))</f>
        <v/>
      </c>
      <c r="AJ19" s="68" t="str">
        <f t="shared" si="4"/>
        <v/>
      </c>
      <c r="AK19" s="69" t="str">
        <f>IF($C19="","",IFERROR(IF($D19="Gas/vapour jet",IF($AH19="Choked",$K19*$J19*0.000001*$AD19*SQRT($W19*$U19/($L19*Tables!$B$5*$AE19)*(2/($W19+1))^(($W19+1)/($W19-1))),$K19*$J19*0.000001*$AD19*SQRT($U19/($L19*Tables!$B$5*$AE19)*(2*$W19/($W19-1))*(1-(Tables!$B$4/$AD19)^(($W19-1)/$W19))*(Tables!$B$4/$AD19)^(2/$W19))),IF($D19="Liquid jet",$AJ19*IF($M19&lt;&gt;"",$M19,IF($H19&gt;=$Y19,1,0)),6.55*$O19^0.78*$N19*$AI19*$U19^0.667/(Tables!$B$5*$AE19))),"—"))</f>
        <v/>
      </c>
      <c r="AL19" s="70" t="str">
        <f>IF($C19="","",IFERROR(Tables!$B$10*$U19*$V19,"—"))</f>
        <v/>
      </c>
      <c r="AM19" s="67" t="str">
        <f>IF($C19="","",IFERROR(INDEX(Tables!$B$15:$B$17,MATCH($E19,Tables!$A$15:$A$17,0)),"—"))</f>
        <v/>
      </c>
      <c r="AN19" s="68" t="str">
        <f>IF($C19="","",IFERROR($AK19/($AM19*$AL19)*$AF19/Tables!$B$9,"—"))</f>
        <v/>
      </c>
      <c r="AO19" s="70" t="str">
        <f>IF($C19="","",IFERROR(IF($F19="Outdoor",Tables!$B$8,$R19/3600),"—"))</f>
        <v/>
      </c>
      <c r="AP19" s="71" t="str">
        <f t="shared" si="5"/>
        <v/>
      </c>
      <c r="AQ19" s="72" t="str">
        <f>IF($C19="","",IFERROR(IF($AP19&lt;Tables!$B$7,"High",IF($F19="Outdoor","Medium",IF($AP19&lt;$Q19,"Medium","Low"))),"—"))</f>
        <v/>
      </c>
      <c r="AR19" s="73" t="str">
        <f>IF($C19="","",IFERROR(-$S19/$AO19*LN($V19*$AM19/Tables!$B$6)/60,"—"))</f>
        <v/>
      </c>
      <c r="AS19" s="74" t="str">
        <f>IF($C19="","",IFERROR(INDEX(Tables!$B$22:$J$24,MATCH($E19,Tables!$A$22:$A$24,0),MATCH($AQ19&amp;"-"&amp;$T19,Tables!$B$21:$J$21,0)),"—"))</f>
        <v/>
      </c>
      <c r="AT19" s="75" t="str">
        <f t="shared" si="6"/>
        <v/>
      </c>
      <c r="AU19" s="76" t="str">
        <f t="shared" si="7"/>
        <v/>
      </c>
      <c r="AV19" s="72" t="str">
        <f>IF($C19="","",IFERROR(IF($AU19="None required","—",$AB19&amp;" "&amp;INDEX(Tables!$B$31:$B$37,MATCH($AA19-0.001,Tables!$A$31:$A$37,1))),"—"))</f>
        <v/>
      </c>
      <c r="AW19" s="77" t="str">
        <f t="shared" si="8"/>
        <v/>
      </c>
    </row>
    <row r="20" spans="1:49" ht="18" customHeight="1" x14ac:dyDescent="0.35">
      <c r="A20" s="54"/>
      <c r="B20" s="55"/>
      <c r="C20" s="54"/>
      <c r="D20" s="54"/>
      <c r="E20" s="54"/>
      <c r="F20" s="54"/>
      <c r="G20" s="56"/>
      <c r="H20" s="57"/>
      <c r="I20" s="57"/>
      <c r="J20" s="58"/>
      <c r="K20" s="56"/>
      <c r="L20" s="56"/>
      <c r="M20" s="56"/>
      <c r="N20" s="56"/>
      <c r="O20" s="56"/>
      <c r="P20" s="56"/>
      <c r="Q20" s="59"/>
      <c r="R20" s="57"/>
      <c r="S20" s="57"/>
      <c r="T20" s="54"/>
      <c r="U20" s="60" t="str">
        <f>IF($C20="","",IFERROR(IF(INDEX(Substances!$C$2:$C$60,MATCH($C20,Substances!$A$2:$A$60,0))="","",INDEX(Substances!$C$2:$C$60,MATCH($C20,Substances!$A$2:$A$60,0))),"—"))</f>
        <v/>
      </c>
      <c r="V20" s="61" t="str">
        <f>IF($C20="","",IFERROR(IF(INDEX(Substances!$D$2:$D$60,MATCH($C20,Substances!$A$2:$A$60,0))="","",INDEX(Substances!$D$2:$D$60,MATCH($C20,Substances!$A$2:$A$60,0))),"—"))</f>
        <v/>
      </c>
      <c r="W20" s="60" t="str">
        <f>IF($C20="","",IFERROR(IF(INDEX(Substances!$F$2:$F$60,MATCH($C20,Substances!$A$2:$A$60,0))="","",INDEX(Substances!$F$2:$F$60,MATCH($C20,Substances!$A$2:$A$60,0))),"—"))</f>
        <v/>
      </c>
      <c r="X20" s="62" t="str">
        <f>IF($C20="","",IFERROR(IF(INDEX(Substances!$G$2:$G$60,MATCH($C20,Substances!$A$2:$A$60,0))="","",INDEX(Substances!$G$2:$G$60,MATCH($C20,Substances!$A$2:$A$60,0))),"—"))</f>
        <v/>
      </c>
      <c r="Y20" s="61" t="str">
        <f>IF($C20="","",IFERROR(IF(INDEX(Substances!$H$2:$H$60,MATCH($C20,Substances!$A$2:$A$60,0))="","",INDEX(Substances!$H$2:$H$60,MATCH($C20,Substances!$A$2:$A$60,0))),"—"))</f>
        <v/>
      </c>
      <c r="Z20" s="62" t="str">
        <f>IF($C20="","",IFERROR(IF(INDEX(Substances!$I$2:$I$60,MATCH($C20,Substances!$A$2:$A$60,0))="","",INDEX(Substances!$I$2:$I$60,MATCH($C20,Substances!$A$2:$A$60,0))),"—"))</f>
        <v/>
      </c>
      <c r="AA20" s="62" t="str">
        <f>IF($C20="","",IFERROR(IF(INDEX(Substances!$J$2:$J$60,MATCH($C20,Substances!$A$2:$A$60,0))="","",INDEX(Substances!$J$2:$J$60,MATCH($C20,Substances!$A$2:$A$60,0))),"—"))</f>
        <v/>
      </c>
      <c r="AB20" s="63" t="str">
        <f>IF($C20="","",IFERROR(IF(INDEX(Substances!$K$2:$K$60,MATCH($C20,Substances!$A$2:$A$60,0))="","",INDEX(Substances!$K$2:$K$60,MATCH($C20,Substances!$A$2:$A$60,0))),"—"))</f>
        <v/>
      </c>
      <c r="AC20" s="60" t="str">
        <f t="shared" si="0"/>
        <v/>
      </c>
      <c r="AD20" s="64" t="str">
        <f>IF($C20="","",IFERROR(N($G20)*100000+Tables!$B$4,"—"))</f>
        <v/>
      </c>
      <c r="AE20" s="65" t="str">
        <f t="shared" si="1"/>
        <v/>
      </c>
      <c r="AF20" s="65" t="str">
        <f t="shared" si="2"/>
        <v/>
      </c>
      <c r="AG20" s="64" t="str">
        <f>IF($C20="","",IFERROR(IF($D20="Gas/vapour jet",Tables!$B$4*(($W20+1)/2)^($W20/($W20-1)),"n/a"),"—"))</f>
        <v/>
      </c>
      <c r="AH20" s="66" t="str">
        <f t="shared" si="3"/>
        <v/>
      </c>
      <c r="AI20" s="67" t="str">
        <f>IF($C20="","",IFERROR(IF($D20="Gas/vapour jet","n/a",MIN(101.325,IF($P20&lt;&gt;"",$P20,IF(N(INDEX(Substances!$L$2:$L$60,MATCH($C20,Substances!$A$2:$A$60,0)))&lt;&gt;0,0.133322*10^(INDEX(Substances!$L$2:$L$60,MATCH($C20,Substances!$A$2:$A$60,0))-INDEX(Substances!$M$2:$M$60,MATCH($C20,Substances!$A$2:$A$60,0))/(INDEX(Substances!$N$2:$N$60,MATCH($C20,Substances!$A$2:$A$60,0))+$H20)),101.325*EXP(10.58*(1-($Y20+273.15)/$AE20)))))),"—"))</f>
        <v/>
      </c>
      <c r="AJ20" s="68" t="str">
        <f t="shared" si="4"/>
        <v/>
      </c>
      <c r="AK20" s="69" t="str">
        <f>IF($C20="","",IFERROR(IF($D20="Gas/vapour jet",IF($AH20="Choked",$K20*$J20*0.000001*$AD20*SQRT($W20*$U20/($L20*Tables!$B$5*$AE20)*(2/($W20+1))^(($W20+1)/($W20-1))),$K20*$J20*0.000001*$AD20*SQRT($U20/($L20*Tables!$B$5*$AE20)*(2*$W20/($W20-1))*(1-(Tables!$B$4/$AD20)^(($W20-1)/$W20))*(Tables!$B$4/$AD20)^(2/$W20))),IF($D20="Liquid jet",$AJ20*IF($M20&lt;&gt;"",$M20,IF($H20&gt;=$Y20,1,0)),6.55*$O20^0.78*$N20*$AI20*$U20^0.667/(Tables!$B$5*$AE20))),"—"))</f>
        <v/>
      </c>
      <c r="AL20" s="70" t="str">
        <f>IF($C20="","",IFERROR(Tables!$B$10*$U20*$V20,"—"))</f>
        <v/>
      </c>
      <c r="AM20" s="67" t="str">
        <f>IF($C20="","",IFERROR(INDEX(Tables!$B$15:$B$17,MATCH($E20,Tables!$A$15:$A$17,0)),"—"))</f>
        <v/>
      </c>
      <c r="AN20" s="68" t="str">
        <f>IF($C20="","",IFERROR($AK20/($AM20*$AL20)*$AF20/Tables!$B$9,"—"))</f>
        <v/>
      </c>
      <c r="AO20" s="70" t="str">
        <f>IF($C20="","",IFERROR(IF($F20="Outdoor",Tables!$B$8,$R20/3600),"—"))</f>
        <v/>
      </c>
      <c r="AP20" s="71" t="str">
        <f t="shared" si="5"/>
        <v/>
      </c>
      <c r="AQ20" s="72" t="str">
        <f>IF($C20="","",IFERROR(IF($AP20&lt;Tables!$B$7,"High",IF($F20="Outdoor","Medium",IF($AP20&lt;$Q20,"Medium","Low"))),"—"))</f>
        <v/>
      </c>
      <c r="AR20" s="73" t="str">
        <f>IF($C20="","",IFERROR(-$S20/$AO20*LN($V20*$AM20/Tables!$B$6)/60,"—"))</f>
        <v/>
      </c>
      <c r="AS20" s="74" t="str">
        <f>IF($C20="","",IFERROR(INDEX(Tables!$B$22:$J$24,MATCH($E20,Tables!$A$22:$A$24,0),MATCH($AQ20&amp;"-"&amp;$T20,Tables!$B$21:$J$21,0)),"—"))</f>
        <v/>
      </c>
      <c r="AT20" s="75" t="str">
        <f t="shared" si="6"/>
        <v/>
      </c>
      <c r="AU20" s="76" t="str">
        <f t="shared" si="7"/>
        <v/>
      </c>
      <c r="AV20" s="72" t="str">
        <f>IF($C20="","",IFERROR(IF($AU20="None required","—",$AB20&amp;" "&amp;INDEX(Tables!$B$31:$B$37,MATCH($AA20-0.001,Tables!$A$31:$A$37,1))),"—"))</f>
        <v/>
      </c>
      <c r="AW20" s="77" t="str">
        <f t="shared" si="8"/>
        <v/>
      </c>
    </row>
    <row r="21" spans="1:49" ht="18" customHeight="1" x14ac:dyDescent="0.35">
      <c r="A21" s="54"/>
      <c r="B21" s="55"/>
      <c r="C21" s="54"/>
      <c r="D21" s="54"/>
      <c r="E21" s="54"/>
      <c r="F21" s="54"/>
      <c r="G21" s="56"/>
      <c r="H21" s="57"/>
      <c r="I21" s="57"/>
      <c r="J21" s="58"/>
      <c r="K21" s="56"/>
      <c r="L21" s="56"/>
      <c r="M21" s="56"/>
      <c r="N21" s="56"/>
      <c r="O21" s="56"/>
      <c r="P21" s="56"/>
      <c r="Q21" s="59"/>
      <c r="R21" s="57"/>
      <c r="S21" s="57"/>
      <c r="T21" s="54"/>
      <c r="U21" s="60" t="str">
        <f>IF($C21="","",IFERROR(IF(INDEX(Substances!$C$2:$C$60,MATCH($C21,Substances!$A$2:$A$60,0))="","",INDEX(Substances!$C$2:$C$60,MATCH($C21,Substances!$A$2:$A$60,0))),"—"))</f>
        <v/>
      </c>
      <c r="V21" s="61" t="str">
        <f>IF($C21="","",IFERROR(IF(INDEX(Substances!$D$2:$D$60,MATCH($C21,Substances!$A$2:$A$60,0))="","",INDEX(Substances!$D$2:$D$60,MATCH($C21,Substances!$A$2:$A$60,0))),"—"))</f>
        <v/>
      </c>
      <c r="W21" s="60" t="str">
        <f>IF($C21="","",IFERROR(IF(INDEX(Substances!$F$2:$F$60,MATCH($C21,Substances!$A$2:$A$60,0))="","",INDEX(Substances!$F$2:$F$60,MATCH($C21,Substances!$A$2:$A$60,0))),"—"))</f>
        <v/>
      </c>
      <c r="X21" s="62" t="str">
        <f>IF($C21="","",IFERROR(IF(INDEX(Substances!$G$2:$G$60,MATCH($C21,Substances!$A$2:$A$60,0))="","",INDEX(Substances!$G$2:$G$60,MATCH($C21,Substances!$A$2:$A$60,0))),"—"))</f>
        <v/>
      </c>
      <c r="Y21" s="61" t="str">
        <f>IF($C21="","",IFERROR(IF(INDEX(Substances!$H$2:$H$60,MATCH($C21,Substances!$A$2:$A$60,0))="","",INDEX(Substances!$H$2:$H$60,MATCH($C21,Substances!$A$2:$A$60,0))),"—"))</f>
        <v/>
      </c>
      <c r="Z21" s="62" t="str">
        <f>IF($C21="","",IFERROR(IF(INDEX(Substances!$I$2:$I$60,MATCH($C21,Substances!$A$2:$A$60,0))="","",INDEX(Substances!$I$2:$I$60,MATCH($C21,Substances!$A$2:$A$60,0))),"—"))</f>
        <v/>
      </c>
      <c r="AA21" s="62" t="str">
        <f>IF($C21="","",IFERROR(IF(INDEX(Substances!$J$2:$J$60,MATCH($C21,Substances!$A$2:$A$60,0))="","",INDEX(Substances!$J$2:$J$60,MATCH($C21,Substances!$A$2:$A$60,0))),"—"))</f>
        <v/>
      </c>
      <c r="AB21" s="63" t="str">
        <f>IF($C21="","",IFERROR(IF(INDEX(Substances!$K$2:$K$60,MATCH($C21,Substances!$A$2:$A$60,0))="","",INDEX(Substances!$K$2:$K$60,MATCH($C21,Substances!$A$2:$A$60,0))),"—"))</f>
        <v/>
      </c>
      <c r="AC21" s="60" t="str">
        <f t="shared" si="0"/>
        <v/>
      </c>
      <c r="AD21" s="64" t="str">
        <f>IF($C21="","",IFERROR(N($G21)*100000+Tables!$B$4,"—"))</f>
        <v/>
      </c>
      <c r="AE21" s="65" t="str">
        <f t="shared" si="1"/>
        <v/>
      </c>
      <c r="AF21" s="65" t="str">
        <f t="shared" si="2"/>
        <v/>
      </c>
      <c r="AG21" s="64" t="str">
        <f>IF($C21="","",IFERROR(IF($D21="Gas/vapour jet",Tables!$B$4*(($W21+1)/2)^($W21/($W21-1)),"n/a"),"—"))</f>
        <v/>
      </c>
      <c r="AH21" s="66" t="str">
        <f t="shared" si="3"/>
        <v/>
      </c>
      <c r="AI21" s="67" t="str">
        <f>IF($C21="","",IFERROR(IF($D21="Gas/vapour jet","n/a",MIN(101.325,IF($P21&lt;&gt;"",$P21,IF(N(INDEX(Substances!$L$2:$L$60,MATCH($C21,Substances!$A$2:$A$60,0)))&lt;&gt;0,0.133322*10^(INDEX(Substances!$L$2:$L$60,MATCH($C21,Substances!$A$2:$A$60,0))-INDEX(Substances!$M$2:$M$60,MATCH($C21,Substances!$A$2:$A$60,0))/(INDEX(Substances!$N$2:$N$60,MATCH($C21,Substances!$A$2:$A$60,0))+$H21)),101.325*EXP(10.58*(1-($Y21+273.15)/$AE21)))))),"—"))</f>
        <v/>
      </c>
      <c r="AJ21" s="68" t="str">
        <f t="shared" si="4"/>
        <v/>
      </c>
      <c r="AK21" s="69" t="str">
        <f>IF($C21="","",IFERROR(IF($D21="Gas/vapour jet",IF($AH21="Choked",$K21*$J21*0.000001*$AD21*SQRT($W21*$U21/($L21*Tables!$B$5*$AE21)*(2/($W21+1))^(($W21+1)/($W21-1))),$K21*$J21*0.000001*$AD21*SQRT($U21/($L21*Tables!$B$5*$AE21)*(2*$W21/($W21-1))*(1-(Tables!$B$4/$AD21)^(($W21-1)/$W21))*(Tables!$B$4/$AD21)^(2/$W21))),IF($D21="Liquid jet",$AJ21*IF($M21&lt;&gt;"",$M21,IF($H21&gt;=$Y21,1,0)),6.55*$O21^0.78*$N21*$AI21*$U21^0.667/(Tables!$B$5*$AE21))),"—"))</f>
        <v/>
      </c>
      <c r="AL21" s="70" t="str">
        <f>IF($C21="","",IFERROR(Tables!$B$10*$U21*$V21,"—"))</f>
        <v/>
      </c>
      <c r="AM21" s="67" t="str">
        <f>IF($C21="","",IFERROR(INDEX(Tables!$B$15:$B$17,MATCH($E21,Tables!$A$15:$A$17,0)),"—"))</f>
        <v/>
      </c>
      <c r="AN21" s="68" t="str">
        <f>IF($C21="","",IFERROR($AK21/($AM21*$AL21)*$AF21/Tables!$B$9,"—"))</f>
        <v/>
      </c>
      <c r="AO21" s="70" t="str">
        <f>IF($C21="","",IFERROR(IF($F21="Outdoor",Tables!$B$8,$R21/3600),"—"))</f>
        <v/>
      </c>
      <c r="AP21" s="71" t="str">
        <f t="shared" si="5"/>
        <v/>
      </c>
      <c r="AQ21" s="72" t="str">
        <f>IF($C21="","",IFERROR(IF($AP21&lt;Tables!$B$7,"High",IF($F21="Outdoor","Medium",IF($AP21&lt;$Q21,"Medium","Low"))),"—"))</f>
        <v/>
      </c>
      <c r="AR21" s="73" t="str">
        <f>IF($C21="","",IFERROR(-$S21/$AO21*LN($V21*$AM21/Tables!$B$6)/60,"—"))</f>
        <v/>
      </c>
      <c r="AS21" s="74" t="str">
        <f>IF($C21="","",IFERROR(INDEX(Tables!$B$22:$J$24,MATCH($E21,Tables!$A$22:$A$24,0),MATCH($AQ21&amp;"-"&amp;$T21,Tables!$B$21:$J$21,0)),"—"))</f>
        <v/>
      </c>
      <c r="AT21" s="75" t="str">
        <f t="shared" si="6"/>
        <v/>
      </c>
      <c r="AU21" s="76" t="str">
        <f t="shared" si="7"/>
        <v/>
      </c>
      <c r="AV21" s="72" t="str">
        <f>IF($C21="","",IFERROR(IF($AU21="None required","—",$AB21&amp;" "&amp;INDEX(Tables!$B$31:$B$37,MATCH($AA21-0.001,Tables!$A$31:$A$37,1))),"—"))</f>
        <v/>
      </c>
      <c r="AW21" s="77" t="str">
        <f t="shared" si="8"/>
        <v/>
      </c>
    </row>
    <row r="22" spans="1:49" ht="18" customHeight="1" x14ac:dyDescent="0.35">
      <c r="A22" s="54"/>
      <c r="B22" s="55"/>
      <c r="C22" s="54"/>
      <c r="D22" s="54"/>
      <c r="E22" s="54"/>
      <c r="F22" s="54"/>
      <c r="G22" s="56"/>
      <c r="H22" s="57"/>
      <c r="I22" s="57"/>
      <c r="J22" s="58"/>
      <c r="K22" s="56"/>
      <c r="L22" s="56"/>
      <c r="M22" s="56"/>
      <c r="N22" s="56"/>
      <c r="O22" s="56"/>
      <c r="P22" s="56"/>
      <c r="Q22" s="59"/>
      <c r="R22" s="57"/>
      <c r="S22" s="57"/>
      <c r="T22" s="54"/>
      <c r="U22" s="60" t="str">
        <f>IF($C22="","",IFERROR(IF(INDEX(Substances!$C$2:$C$60,MATCH($C22,Substances!$A$2:$A$60,0))="","",INDEX(Substances!$C$2:$C$60,MATCH($C22,Substances!$A$2:$A$60,0))),"—"))</f>
        <v/>
      </c>
      <c r="V22" s="61" t="str">
        <f>IF($C22="","",IFERROR(IF(INDEX(Substances!$D$2:$D$60,MATCH($C22,Substances!$A$2:$A$60,0))="","",INDEX(Substances!$D$2:$D$60,MATCH($C22,Substances!$A$2:$A$60,0))),"—"))</f>
        <v/>
      </c>
      <c r="W22" s="60" t="str">
        <f>IF($C22="","",IFERROR(IF(INDEX(Substances!$F$2:$F$60,MATCH($C22,Substances!$A$2:$A$60,0))="","",INDEX(Substances!$F$2:$F$60,MATCH($C22,Substances!$A$2:$A$60,0))),"—"))</f>
        <v/>
      </c>
      <c r="X22" s="62" t="str">
        <f>IF($C22="","",IFERROR(IF(INDEX(Substances!$G$2:$G$60,MATCH($C22,Substances!$A$2:$A$60,0))="","",INDEX(Substances!$G$2:$G$60,MATCH($C22,Substances!$A$2:$A$60,0))),"—"))</f>
        <v/>
      </c>
      <c r="Y22" s="61" t="str">
        <f>IF($C22="","",IFERROR(IF(INDEX(Substances!$H$2:$H$60,MATCH($C22,Substances!$A$2:$A$60,0))="","",INDEX(Substances!$H$2:$H$60,MATCH($C22,Substances!$A$2:$A$60,0))),"—"))</f>
        <v/>
      </c>
      <c r="Z22" s="62" t="str">
        <f>IF($C22="","",IFERROR(IF(INDEX(Substances!$I$2:$I$60,MATCH($C22,Substances!$A$2:$A$60,0))="","",INDEX(Substances!$I$2:$I$60,MATCH($C22,Substances!$A$2:$A$60,0))),"—"))</f>
        <v/>
      </c>
      <c r="AA22" s="62" t="str">
        <f>IF($C22="","",IFERROR(IF(INDEX(Substances!$J$2:$J$60,MATCH($C22,Substances!$A$2:$A$60,0))="","",INDEX(Substances!$J$2:$J$60,MATCH($C22,Substances!$A$2:$A$60,0))),"—"))</f>
        <v/>
      </c>
      <c r="AB22" s="63" t="str">
        <f>IF($C22="","",IFERROR(IF(INDEX(Substances!$K$2:$K$60,MATCH($C22,Substances!$A$2:$A$60,0))="","",INDEX(Substances!$K$2:$K$60,MATCH($C22,Substances!$A$2:$A$60,0))),"—"))</f>
        <v/>
      </c>
      <c r="AC22" s="60" t="str">
        <f t="shared" si="0"/>
        <v/>
      </c>
      <c r="AD22" s="64" t="str">
        <f>IF($C22="","",IFERROR(N($G22)*100000+Tables!$B$4,"—"))</f>
        <v/>
      </c>
      <c r="AE22" s="65" t="str">
        <f t="shared" si="1"/>
        <v/>
      </c>
      <c r="AF22" s="65" t="str">
        <f t="shared" si="2"/>
        <v/>
      </c>
      <c r="AG22" s="64" t="str">
        <f>IF($C22="","",IFERROR(IF($D22="Gas/vapour jet",Tables!$B$4*(($W22+1)/2)^($W22/($W22-1)),"n/a"),"—"))</f>
        <v/>
      </c>
      <c r="AH22" s="66" t="str">
        <f t="shared" si="3"/>
        <v/>
      </c>
      <c r="AI22" s="67" t="str">
        <f>IF($C22="","",IFERROR(IF($D22="Gas/vapour jet","n/a",MIN(101.325,IF($P22&lt;&gt;"",$P22,IF(N(INDEX(Substances!$L$2:$L$60,MATCH($C22,Substances!$A$2:$A$60,0)))&lt;&gt;0,0.133322*10^(INDEX(Substances!$L$2:$L$60,MATCH($C22,Substances!$A$2:$A$60,0))-INDEX(Substances!$M$2:$M$60,MATCH($C22,Substances!$A$2:$A$60,0))/(INDEX(Substances!$N$2:$N$60,MATCH($C22,Substances!$A$2:$A$60,0))+$H22)),101.325*EXP(10.58*(1-($Y22+273.15)/$AE22)))))),"—"))</f>
        <v/>
      </c>
      <c r="AJ22" s="68" t="str">
        <f t="shared" si="4"/>
        <v/>
      </c>
      <c r="AK22" s="69" t="str">
        <f>IF($C22="","",IFERROR(IF($D22="Gas/vapour jet",IF($AH22="Choked",$K22*$J22*0.000001*$AD22*SQRT($W22*$U22/($L22*Tables!$B$5*$AE22)*(2/($W22+1))^(($W22+1)/($W22-1))),$K22*$J22*0.000001*$AD22*SQRT($U22/($L22*Tables!$B$5*$AE22)*(2*$W22/($W22-1))*(1-(Tables!$B$4/$AD22)^(($W22-1)/$W22))*(Tables!$B$4/$AD22)^(2/$W22))),IF($D22="Liquid jet",$AJ22*IF($M22&lt;&gt;"",$M22,IF($H22&gt;=$Y22,1,0)),6.55*$O22^0.78*$N22*$AI22*$U22^0.667/(Tables!$B$5*$AE22))),"—"))</f>
        <v/>
      </c>
      <c r="AL22" s="70" t="str">
        <f>IF($C22="","",IFERROR(Tables!$B$10*$U22*$V22,"—"))</f>
        <v/>
      </c>
      <c r="AM22" s="67" t="str">
        <f>IF($C22="","",IFERROR(INDEX(Tables!$B$15:$B$17,MATCH($E22,Tables!$A$15:$A$17,0)),"—"))</f>
        <v/>
      </c>
      <c r="AN22" s="68" t="str">
        <f>IF($C22="","",IFERROR($AK22/($AM22*$AL22)*$AF22/Tables!$B$9,"—"))</f>
        <v/>
      </c>
      <c r="AO22" s="70" t="str">
        <f>IF($C22="","",IFERROR(IF($F22="Outdoor",Tables!$B$8,$R22/3600),"—"))</f>
        <v/>
      </c>
      <c r="AP22" s="71" t="str">
        <f t="shared" si="5"/>
        <v/>
      </c>
      <c r="AQ22" s="72" t="str">
        <f>IF($C22="","",IFERROR(IF($AP22&lt;Tables!$B$7,"High",IF($F22="Outdoor","Medium",IF($AP22&lt;$Q22,"Medium","Low"))),"—"))</f>
        <v/>
      </c>
      <c r="AR22" s="73" t="str">
        <f>IF($C22="","",IFERROR(-$S22/$AO22*LN($V22*$AM22/Tables!$B$6)/60,"—"))</f>
        <v/>
      </c>
      <c r="AS22" s="74" t="str">
        <f>IF($C22="","",IFERROR(INDEX(Tables!$B$22:$J$24,MATCH($E22,Tables!$A$22:$A$24,0),MATCH($AQ22&amp;"-"&amp;$T22,Tables!$B$21:$J$21,0)),"—"))</f>
        <v/>
      </c>
      <c r="AT22" s="75" t="str">
        <f t="shared" si="6"/>
        <v/>
      </c>
      <c r="AU22" s="76" t="str">
        <f t="shared" si="7"/>
        <v/>
      </c>
      <c r="AV22" s="72" t="str">
        <f>IF($C22="","",IFERROR(IF($AU22="None required","—",$AB22&amp;" "&amp;INDEX(Tables!$B$31:$B$37,MATCH($AA22-0.001,Tables!$A$31:$A$37,1))),"—"))</f>
        <v/>
      </c>
      <c r="AW22" s="77" t="str">
        <f t="shared" si="8"/>
        <v/>
      </c>
    </row>
    <row r="23" spans="1:49" ht="18" customHeight="1" x14ac:dyDescent="0.35">
      <c r="A23" s="54"/>
      <c r="B23" s="55"/>
      <c r="C23" s="54"/>
      <c r="D23" s="54"/>
      <c r="E23" s="54"/>
      <c r="F23" s="54"/>
      <c r="G23" s="56"/>
      <c r="H23" s="57"/>
      <c r="I23" s="57"/>
      <c r="J23" s="58"/>
      <c r="K23" s="56"/>
      <c r="L23" s="56"/>
      <c r="M23" s="56"/>
      <c r="N23" s="56"/>
      <c r="O23" s="56"/>
      <c r="P23" s="56"/>
      <c r="Q23" s="59"/>
      <c r="R23" s="57"/>
      <c r="S23" s="57"/>
      <c r="T23" s="54"/>
      <c r="U23" s="60" t="str">
        <f>IF($C23="","",IFERROR(IF(INDEX(Substances!$C$2:$C$60,MATCH($C23,Substances!$A$2:$A$60,0))="","",INDEX(Substances!$C$2:$C$60,MATCH($C23,Substances!$A$2:$A$60,0))),"—"))</f>
        <v/>
      </c>
      <c r="V23" s="61" t="str">
        <f>IF($C23="","",IFERROR(IF(INDEX(Substances!$D$2:$D$60,MATCH($C23,Substances!$A$2:$A$60,0))="","",INDEX(Substances!$D$2:$D$60,MATCH($C23,Substances!$A$2:$A$60,0))),"—"))</f>
        <v/>
      </c>
      <c r="W23" s="60" t="str">
        <f>IF($C23="","",IFERROR(IF(INDEX(Substances!$F$2:$F$60,MATCH($C23,Substances!$A$2:$A$60,0))="","",INDEX(Substances!$F$2:$F$60,MATCH($C23,Substances!$A$2:$A$60,0))),"—"))</f>
        <v/>
      </c>
      <c r="X23" s="62" t="str">
        <f>IF($C23="","",IFERROR(IF(INDEX(Substances!$G$2:$G$60,MATCH($C23,Substances!$A$2:$A$60,0))="","",INDEX(Substances!$G$2:$G$60,MATCH($C23,Substances!$A$2:$A$60,0))),"—"))</f>
        <v/>
      </c>
      <c r="Y23" s="61" t="str">
        <f>IF($C23="","",IFERROR(IF(INDEX(Substances!$H$2:$H$60,MATCH($C23,Substances!$A$2:$A$60,0))="","",INDEX(Substances!$H$2:$H$60,MATCH($C23,Substances!$A$2:$A$60,0))),"—"))</f>
        <v/>
      </c>
      <c r="Z23" s="62" t="str">
        <f>IF($C23="","",IFERROR(IF(INDEX(Substances!$I$2:$I$60,MATCH($C23,Substances!$A$2:$A$60,0))="","",INDEX(Substances!$I$2:$I$60,MATCH($C23,Substances!$A$2:$A$60,0))),"—"))</f>
        <v/>
      </c>
      <c r="AA23" s="62" t="str">
        <f>IF($C23="","",IFERROR(IF(INDEX(Substances!$J$2:$J$60,MATCH($C23,Substances!$A$2:$A$60,0))="","",INDEX(Substances!$J$2:$J$60,MATCH($C23,Substances!$A$2:$A$60,0))),"—"))</f>
        <v/>
      </c>
      <c r="AB23" s="63" t="str">
        <f>IF($C23="","",IFERROR(IF(INDEX(Substances!$K$2:$K$60,MATCH($C23,Substances!$A$2:$A$60,0))="","",INDEX(Substances!$K$2:$K$60,MATCH($C23,Substances!$A$2:$A$60,0))),"—"))</f>
        <v/>
      </c>
      <c r="AC23" s="60" t="str">
        <f t="shared" si="0"/>
        <v/>
      </c>
      <c r="AD23" s="64" t="str">
        <f>IF($C23="","",IFERROR(N($G23)*100000+Tables!$B$4,"—"))</f>
        <v/>
      </c>
      <c r="AE23" s="65" t="str">
        <f t="shared" si="1"/>
        <v/>
      </c>
      <c r="AF23" s="65" t="str">
        <f t="shared" si="2"/>
        <v/>
      </c>
      <c r="AG23" s="64" t="str">
        <f>IF($C23="","",IFERROR(IF($D23="Gas/vapour jet",Tables!$B$4*(($W23+1)/2)^($W23/($W23-1)),"n/a"),"—"))</f>
        <v/>
      </c>
      <c r="AH23" s="66" t="str">
        <f t="shared" si="3"/>
        <v/>
      </c>
      <c r="AI23" s="67" t="str">
        <f>IF($C23="","",IFERROR(IF($D23="Gas/vapour jet","n/a",MIN(101.325,IF($P23&lt;&gt;"",$P23,IF(N(INDEX(Substances!$L$2:$L$60,MATCH($C23,Substances!$A$2:$A$60,0)))&lt;&gt;0,0.133322*10^(INDEX(Substances!$L$2:$L$60,MATCH($C23,Substances!$A$2:$A$60,0))-INDEX(Substances!$M$2:$M$60,MATCH($C23,Substances!$A$2:$A$60,0))/(INDEX(Substances!$N$2:$N$60,MATCH($C23,Substances!$A$2:$A$60,0))+$H23)),101.325*EXP(10.58*(1-($Y23+273.15)/$AE23)))))),"—"))</f>
        <v/>
      </c>
      <c r="AJ23" s="68" t="str">
        <f t="shared" si="4"/>
        <v/>
      </c>
      <c r="AK23" s="69" t="str">
        <f>IF($C23="","",IFERROR(IF($D23="Gas/vapour jet",IF($AH23="Choked",$K23*$J23*0.000001*$AD23*SQRT($W23*$U23/($L23*Tables!$B$5*$AE23)*(2/($W23+1))^(($W23+1)/($W23-1))),$K23*$J23*0.000001*$AD23*SQRT($U23/($L23*Tables!$B$5*$AE23)*(2*$W23/($W23-1))*(1-(Tables!$B$4/$AD23)^(($W23-1)/$W23))*(Tables!$B$4/$AD23)^(2/$W23))),IF($D23="Liquid jet",$AJ23*IF($M23&lt;&gt;"",$M23,IF($H23&gt;=$Y23,1,0)),6.55*$O23^0.78*$N23*$AI23*$U23^0.667/(Tables!$B$5*$AE23))),"—"))</f>
        <v/>
      </c>
      <c r="AL23" s="70" t="str">
        <f>IF($C23="","",IFERROR(Tables!$B$10*$U23*$V23,"—"))</f>
        <v/>
      </c>
      <c r="AM23" s="67" t="str">
        <f>IF($C23="","",IFERROR(INDEX(Tables!$B$15:$B$17,MATCH($E23,Tables!$A$15:$A$17,0)),"—"))</f>
        <v/>
      </c>
      <c r="AN23" s="68" t="str">
        <f>IF($C23="","",IFERROR($AK23/($AM23*$AL23)*$AF23/Tables!$B$9,"—"))</f>
        <v/>
      </c>
      <c r="AO23" s="70" t="str">
        <f>IF($C23="","",IFERROR(IF($F23="Outdoor",Tables!$B$8,$R23/3600),"—"))</f>
        <v/>
      </c>
      <c r="AP23" s="71" t="str">
        <f t="shared" si="5"/>
        <v/>
      </c>
      <c r="AQ23" s="72" t="str">
        <f>IF($C23="","",IFERROR(IF($AP23&lt;Tables!$B$7,"High",IF($F23="Outdoor","Medium",IF($AP23&lt;$Q23,"Medium","Low"))),"—"))</f>
        <v/>
      </c>
      <c r="AR23" s="73" t="str">
        <f>IF($C23="","",IFERROR(-$S23/$AO23*LN($V23*$AM23/Tables!$B$6)/60,"—"))</f>
        <v/>
      </c>
      <c r="AS23" s="74" t="str">
        <f>IF($C23="","",IFERROR(INDEX(Tables!$B$22:$J$24,MATCH($E23,Tables!$A$22:$A$24,0),MATCH($AQ23&amp;"-"&amp;$T23,Tables!$B$21:$J$21,0)),"—"))</f>
        <v/>
      </c>
      <c r="AT23" s="75" t="str">
        <f t="shared" si="6"/>
        <v/>
      </c>
      <c r="AU23" s="76" t="str">
        <f t="shared" si="7"/>
        <v/>
      </c>
      <c r="AV23" s="72" t="str">
        <f>IF($C23="","",IFERROR(IF($AU23="None required","—",$AB23&amp;" "&amp;INDEX(Tables!$B$31:$B$37,MATCH($AA23-0.001,Tables!$A$31:$A$37,1))),"—"))</f>
        <v/>
      </c>
      <c r="AW23" s="77" t="str">
        <f t="shared" si="8"/>
        <v/>
      </c>
    </row>
    <row r="24" spans="1:49" ht="18" customHeight="1" x14ac:dyDescent="0.35">
      <c r="A24" s="54"/>
      <c r="B24" s="55"/>
      <c r="C24" s="54"/>
      <c r="D24" s="54"/>
      <c r="E24" s="54"/>
      <c r="F24" s="54"/>
      <c r="G24" s="56"/>
      <c r="H24" s="57"/>
      <c r="I24" s="57"/>
      <c r="J24" s="58"/>
      <c r="K24" s="56"/>
      <c r="L24" s="56"/>
      <c r="M24" s="56"/>
      <c r="N24" s="56"/>
      <c r="O24" s="56"/>
      <c r="P24" s="56"/>
      <c r="Q24" s="59"/>
      <c r="R24" s="57"/>
      <c r="S24" s="57"/>
      <c r="T24" s="54"/>
      <c r="U24" s="60" t="str">
        <f>IF($C24="","",IFERROR(IF(INDEX(Substances!$C$2:$C$60,MATCH($C24,Substances!$A$2:$A$60,0))="","",INDEX(Substances!$C$2:$C$60,MATCH($C24,Substances!$A$2:$A$60,0))),"—"))</f>
        <v/>
      </c>
      <c r="V24" s="61" t="str">
        <f>IF($C24="","",IFERROR(IF(INDEX(Substances!$D$2:$D$60,MATCH($C24,Substances!$A$2:$A$60,0))="","",INDEX(Substances!$D$2:$D$60,MATCH($C24,Substances!$A$2:$A$60,0))),"—"))</f>
        <v/>
      </c>
      <c r="W24" s="60" t="str">
        <f>IF($C24="","",IFERROR(IF(INDEX(Substances!$F$2:$F$60,MATCH($C24,Substances!$A$2:$A$60,0))="","",INDEX(Substances!$F$2:$F$60,MATCH($C24,Substances!$A$2:$A$60,0))),"—"))</f>
        <v/>
      </c>
      <c r="X24" s="62" t="str">
        <f>IF($C24="","",IFERROR(IF(INDEX(Substances!$G$2:$G$60,MATCH($C24,Substances!$A$2:$A$60,0))="","",INDEX(Substances!$G$2:$G$60,MATCH($C24,Substances!$A$2:$A$60,0))),"—"))</f>
        <v/>
      </c>
      <c r="Y24" s="61" t="str">
        <f>IF($C24="","",IFERROR(IF(INDEX(Substances!$H$2:$H$60,MATCH($C24,Substances!$A$2:$A$60,0))="","",INDEX(Substances!$H$2:$H$60,MATCH($C24,Substances!$A$2:$A$60,0))),"—"))</f>
        <v/>
      </c>
      <c r="Z24" s="62" t="str">
        <f>IF($C24="","",IFERROR(IF(INDEX(Substances!$I$2:$I$60,MATCH($C24,Substances!$A$2:$A$60,0))="","",INDEX(Substances!$I$2:$I$60,MATCH($C24,Substances!$A$2:$A$60,0))),"—"))</f>
        <v/>
      </c>
      <c r="AA24" s="62" t="str">
        <f>IF($C24="","",IFERROR(IF(INDEX(Substances!$J$2:$J$60,MATCH($C24,Substances!$A$2:$A$60,0))="","",INDEX(Substances!$J$2:$J$60,MATCH($C24,Substances!$A$2:$A$60,0))),"—"))</f>
        <v/>
      </c>
      <c r="AB24" s="63" t="str">
        <f>IF($C24="","",IFERROR(IF(INDEX(Substances!$K$2:$K$60,MATCH($C24,Substances!$A$2:$A$60,0))="","",INDEX(Substances!$K$2:$K$60,MATCH($C24,Substances!$A$2:$A$60,0))),"—"))</f>
        <v/>
      </c>
      <c r="AC24" s="60" t="str">
        <f t="shared" si="0"/>
        <v/>
      </c>
      <c r="AD24" s="64" t="str">
        <f>IF($C24="","",IFERROR(N($G24)*100000+Tables!$B$4,"—"))</f>
        <v/>
      </c>
      <c r="AE24" s="65" t="str">
        <f t="shared" si="1"/>
        <v/>
      </c>
      <c r="AF24" s="65" t="str">
        <f t="shared" si="2"/>
        <v/>
      </c>
      <c r="AG24" s="64" t="str">
        <f>IF($C24="","",IFERROR(IF($D24="Gas/vapour jet",Tables!$B$4*(($W24+1)/2)^($W24/($W24-1)),"n/a"),"—"))</f>
        <v/>
      </c>
      <c r="AH24" s="66" t="str">
        <f t="shared" si="3"/>
        <v/>
      </c>
      <c r="AI24" s="67" t="str">
        <f>IF($C24="","",IFERROR(IF($D24="Gas/vapour jet","n/a",MIN(101.325,IF($P24&lt;&gt;"",$P24,IF(N(INDEX(Substances!$L$2:$L$60,MATCH($C24,Substances!$A$2:$A$60,0)))&lt;&gt;0,0.133322*10^(INDEX(Substances!$L$2:$L$60,MATCH($C24,Substances!$A$2:$A$60,0))-INDEX(Substances!$M$2:$M$60,MATCH($C24,Substances!$A$2:$A$60,0))/(INDEX(Substances!$N$2:$N$60,MATCH($C24,Substances!$A$2:$A$60,0))+$H24)),101.325*EXP(10.58*(1-($Y24+273.15)/$AE24)))))),"—"))</f>
        <v/>
      </c>
      <c r="AJ24" s="68" t="str">
        <f t="shared" si="4"/>
        <v/>
      </c>
      <c r="AK24" s="69" t="str">
        <f>IF($C24="","",IFERROR(IF($D24="Gas/vapour jet",IF($AH24="Choked",$K24*$J24*0.000001*$AD24*SQRT($W24*$U24/($L24*Tables!$B$5*$AE24)*(2/($W24+1))^(($W24+1)/($W24-1))),$K24*$J24*0.000001*$AD24*SQRT($U24/($L24*Tables!$B$5*$AE24)*(2*$W24/($W24-1))*(1-(Tables!$B$4/$AD24)^(($W24-1)/$W24))*(Tables!$B$4/$AD24)^(2/$W24))),IF($D24="Liquid jet",$AJ24*IF($M24&lt;&gt;"",$M24,IF($H24&gt;=$Y24,1,0)),6.55*$O24^0.78*$N24*$AI24*$U24^0.667/(Tables!$B$5*$AE24))),"—"))</f>
        <v/>
      </c>
      <c r="AL24" s="70" t="str">
        <f>IF($C24="","",IFERROR(Tables!$B$10*$U24*$V24,"—"))</f>
        <v/>
      </c>
      <c r="AM24" s="67" t="str">
        <f>IF($C24="","",IFERROR(INDEX(Tables!$B$15:$B$17,MATCH($E24,Tables!$A$15:$A$17,0)),"—"))</f>
        <v/>
      </c>
      <c r="AN24" s="68" t="str">
        <f>IF($C24="","",IFERROR($AK24/($AM24*$AL24)*$AF24/Tables!$B$9,"—"))</f>
        <v/>
      </c>
      <c r="AO24" s="70" t="str">
        <f>IF($C24="","",IFERROR(IF($F24="Outdoor",Tables!$B$8,$R24/3600),"—"))</f>
        <v/>
      </c>
      <c r="AP24" s="71" t="str">
        <f t="shared" si="5"/>
        <v/>
      </c>
      <c r="AQ24" s="72" t="str">
        <f>IF($C24="","",IFERROR(IF($AP24&lt;Tables!$B$7,"High",IF($F24="Outdoor","Medium",IF($AP24&lt;$Q24,"Medium","Low"))),"—"))</f>
        <v/>
      </c>
      <c r="AR24" s="73" t="str">
        <f>IF($C24="","",IFERROR(-$S24/$AO24*LN($V24*$AM24/Tables!$B$6)/60,"—"))</f>
        <v/>
      </c>
      <c r="AS24" s="74" t="str">
        <f>IF($C24="","",IFERROR(INDEX(Tables!$B$22:$J$24,MATCH($E24,Tables!$A$22:$A$24,0),MATCH($AQ24&amp;"-"&amp;$T24,Tables!$B$21:$J$21,0)),"—"))</f>
        <v/>
      </c>
      <c r="AT24" s="75" t="str">
        <f t="shared" si="6"/>
        <v/>
      </c>
      <c r="AU24" s="76" t="str">
        <f t="shared" si="7"/>
        <v/>
      </c>
      <c r="AV24" s="72" t="str">
        <f>IF($C24="","",IFERROR(IF($AU24="None required","—",$AB24&amp;" "&amp;INDEX(Tables!$B$31:$B$37,MATCH($AA24-0.001,Tables!$A$31:$A$37,1))),"—"))</f>
        <v/>
      </c>
      <c r="AW24" s="77" t="str">
        <f t="shared" si="8"/>
        <v/>
      </c>
    </row>
    <row r="25" spans="1:49" ht="18" customHeight="1" x14ac:dyDescent="0.35">
      <c r="A25" s="54"/>
      <c r="B25" s="55"/>
      <c r="C25" s="54"/>
      <c r="D25" s="54"/>
      <c r="E25" s="54"/>
      <c r="F25" s="54"/>
      <c r="G25" s="56"/>
      <c r="H25" s="57"/>
      <c r="I25" s="57"/>
      <c r="J25" s="58"/>
      <c r="K25" s="56"/>
      <c r="L25" s="56"/>
      <c r="M25" s="56"/>
      <c r="N25" s="56"/>
      <c r="O25" s="56"/>
      <c r="P25" s="56"/>
      <c r="Q25" s="59"/>
      <c r="R25" s="57"/>
      <c r="S25" s="57"/>
      <c r="T25" s="54"/>
      <c r="U25" s="60" t="str">
        <f>IF($C25="","",IFERROR(IF(INDEX(Substances!$C$2:$C$60,MATCH($C25,Substances!$A$2:$A$60,0))="","",INDEX(Substances!$C$2:$C$60,MATCH($C25,Substances!$A$2:$A$60,0))),"—"))</f>
        <v/>
      </c>
      <c r="V25" s="61" t="str">
        <f>IF($C25="","",IFERROR(IF(INDEX(Substances!$D$2:$D$60,MATCH($C25,Substances!$A$2:$A$60,0))="","",INDEX(Substances!$D$2:$D$60,MATCH($C25,Substances!$A$2:$A$60,0))),"—"))</f>
        <v/>
      </c>
      <c r="W25" s="60" t="str">
        <f>IF($C25="","",IFERROR(IF(INDEX(Substances!$F$2:$F$60,MATCH($C25,Substances!$A$2:$A$60,0))="","",INDEX(Substances!$F$2:$F$60,MATCH($C25,Substances!$A$2:$A$60,0))),"—"))</f>
        <v/>
      </c>
      <c r="X25" s="62" t="str">
        <f>IF($C25="","",IFERROR(IF(INDEX(Substances!$G$2:$G$60,MATCH($C25,Substances!$A$2:$A$60,0))="","",INDEX(Substances!$G$2:$G$60,MATCH($C25,Substances!$A$2:$A$60,0))),"—"))</f>
        <v/>
      </c>
      <c r="Y25" s="61" t="str">
        <f>IF($C25="","",IFERROR(IF(INDEX(Substances!$H$2:$H$60,MATCH($C25,Substances!$A$2:$A$60,0))="","",INDEX(Substances!$H$2:$H$60,MATCH($C25,Substances!$A$2:$A$60,0))),"—"))</f>
        <v/>
      </c>
      <c r="Z25" s="62" t="str">
        <f>IF($C25="","",IFERROR(IF(INDEX(Substances!$I$2:$I$60,MATCH($C25,Substances!$A$2:$A$60,0))="","",INDEX(Substances!$I$2:$I$60,MATCH($C25,Substances!$A$2:$A$60,0))),"—"))</f>
        <v/>
      </c>
      <c r="AA25" s="62" t="str">
        <f>IF($C25="","",IFERROR(IF(INDEX(Substances!$J$2:$J$60,MATCH($C25,Substances!$A$2:$A$60,0))="","",INDEX(Substances!$J$2:$J$60,MATCH($C25,Substances!$A$2:$A$60,0))),"—"))</f>
        <v/>
      </c>
      <c r="AB25" s="63" t="str">
        <f>IF($C25="","",IFERROR(IF(INDEX(Substances!$K$2:$K$60,MATCH($C25,Substances!$A$2:$A$60,0))="","",INDEX(Substances!$K$2:$K$60,MATCH($C25,Substances!$A$2:$A$60,0))),"—"))</f>
        <v/>
      </c>
      <c r="AC25" s="60" t="str">
        <f t="shared" si="0"/>
        <v/>
      </c>
      <c r="AD25" s="64" t="str">
        <f>IF($C25="","",IFERROR(N($G25)*100000+Tables!$B$4,"—"))</f>
        <v/>
      </c>
      <c r="AE25" s="65" t="str">
        <f t="shared" si="1"/>
        <v/>
      </c>
      <c r="AF25" s="65" t="str">
        <f t="shared" si="2"/>
        <v/>
      </c>
      <c r="AG25" s="64" t="str">
        <f>IF($C25="","",IFERROR(IF($D25="Gas/vapour jet",Tables!$B$4*(($W25+1)/2)^($W25/($W25-1)),"n/a"),"—"))</f>
        <v/>
      </c>
      <c r="AH25" s="66" t="str">
        <f t="shared" si="3"/>
        <v/>
      </c>
      <c r="AI25" s="67" t="str">
        <f>IF($C25="","",IFERROR(IF($D25="Gas/vapour jet","n/a",MIN(101.325,IF($P25&lt;&gt;"",$P25,IF(N(INDEX(Substances!$L$2:$L$60,MATCH($C25,Substances!$A$2:$A$60,0)))&lt;&gt;0,0.133322*10^(INDEX(Substances!$L$2:$L$60,MATCH($C25,Substances!$A$2:$A$60,0))-INDEX(Substances!$M$2:$M$60,MATCH($C25,Substances!$A$2:$A$60,0))/(INDEX(Substances!$N$2:$N$60,MATCH($C25,Substances!$A$2:$A$60,0))+$H25)),101.325*EXP(10.58*(1-($Y25+273.15)/$AE25)))))),"—"))</f>
        <v/>
      </c>
      <c r="AJ25" s="68" t="str">
        <f t="shared" si="4"/>
        <v/>
      </c>
      <c r="AK25" s="69" t="str">
        <f>IF($C25="","",IFERROR(IF($D25="Gas/vapour jet",IF($AH25="Choked",$K25*$J25*0.000001*$AD25*SQRT($W25*$U25/($L25*Tables!$B$5*$AE25)*(2/($W25+1))^(($W25+1)/($W25-1))),$K25*$J25*0.000001*$AD25*SQRT($U25/($L25*Tables!$B$5*$AE25)*(2*$W25/($W25-1))*(1-(Tables!$B$4/$AD25)^(($W25-1)/$W25))*(Tables!$B$4/$AD25)^(2/$W25))),IF($D25="Liquid jet",$AJ25*IF($M25&lt;&gt;"",$M25,IF($H25&gt;=$Y25,1,0)),6.55*$O25^0.78*$N25*$AI25*$U25^0.667/(Tables!$B$5*$AE25))),"—"))</f>
        <v/>
      </c>
      <c r="AL25" s="70" t="str">
        <f>IF($C25="","",IFERROR(Tables!$B$10*$U25*$V25,"—"))</f>
        <v/>
      </c>
      <c r="AM25" s="67" t="str">
        <f>IF($C25="","",IFERROR(INDEX(Tables!$B$15:$B$17,MATCH($E25,Tables!$A$15:$A$17,0)),"—"))</f>
        <v/>
      </c>
      <c r="AN25" s="68" t="str">
        <f>IF($C25="","",IFERROR($AK25/($AM25*$AL25)*$AF25/Tables!$B$9,"—"))</f>
        <v/>
      </c>
      <c r="AO25" s="70" t="str">
        <f>IF($C25="","",IFERROR(IF($F25="Outdoor",Tables!$B$8,$R25/3600),"—"))</f>
        <v/>
      </c>
      <c r="AP25" s="71" t="str">
        <f t="shared" si="5"/>
        <v/>
      </c>
      <c r="AQ25" s="72" t="str">
        <f>IF($C25="","",IFERROR(IF($AP25&lt;Tables!$B$7,"High",IF($F25="Outdoor","Medium",IF($AP25&lt;$Q25,"Medium","Low"))),"—"))</f>
        <v/>
      </c>
      <c r="AR25" s="73" t="str">
        <f>IF($C25="","",IFERROR(-$S25/$AO25*LN($V25*$AM25/Tables!$B$6)/60,"—"))</f>
        <v/>
      </c>
      <c r="AS25" s="74" t="str">
        <f>IF($C25="","",IFERROR(INDEX(Tables!$B$22:$J$24,MATCH($E25,Tables!$A$22:$A$24,0),MATCH($AQ25&amp;"-"&amp;$T25,Tables!$B$21:$J$21,0)),"—"))</f>
        <v/>
      </c>
      <c r="AT25" s="75" t="str">
        <f t="shared" si="6"/>
        <v/>
      </c>
      <c r="AU25" s="76" t="str">
        <f t="shared" si="7"/>
        <v/>
      </c>
      <c r="AV25" s="72" t="str">
        <f>IF($C25="","",IFERROR(IF($AU25="None required","—",$AB25&amp;" "&amp;INDEX(Tables!$B$31:$B$37,MATCH($AA25-0.001,Tables!$A$31:$A$37,1))),"—"))</f>
        <v/>
      </c>
      <c r="AW25" s="77" t="str">
        <f t="shared" si="8"/>
        <v/>
      </c>
    </row>
    <row r="26" spans="1:49" ht="18" customHeight="1" x14ac:dyDescent="0.35">
      <c r="A26" s="54"/>
      <c r="B26" s="55"/>
      <c r="C26" s="54"/>
      <c r="D26" s="54"/>
      <c r="E26" s="54"/>
      <c r="F26" s="54"/>
      <c r="G26" s="56"/>
      <c r="H26" s="57"/>
      <c r="I26" s="57"/>
      <c r="J26" s="58"/>
      <c r="K26" s="56"/>
      <c r="L26" s="56"/>
      <c r="M26" s="56"/>
      <c r="N26" s="56"/>
      <c r="O26" s="56"/>
      <c r="P26" s="56"/>
      <c r="Q26" s="59"/>
      <c r="R26" s="57"/>
      <c r="S26" s="57"/>
      <c r="T26" s="54"/>
      <c r="U26" s="60" t="str">
        <f>IF($C26="","",IFERROR(IF(INDEX(Substances!$C$2:$C$60,MATCH($C26,Substances!$A$2:$A$60,0))="","",INDEX(Substances!$C$2:$C$60,MATCH($C26,Substances!$A$2:$A$60,0))),"—"))</f>
        <v/>
      </c>
      <c r="V26" s="61" t="str">
        <f>IF($C26="","",IFERROR(IF(INDEX(Substances!$D$2:$D$60,MATCH($C26,Substances!$A$2:$A$60,0))="","",INDEX(Substances!$D$2:$D$60,MATCH($C26,Substances!$A$2:$A$60,0))),"—"))</f>
        <v/>
      </c>
      <c r="W26" s="60" t="str">
        <f>IF($C26="","",IFERROR(IF(INDEX(Substances!$F$2:$F$60,MATCH($C26,Substances!$A$2:$A$60,0))="","",INDEX(Substances!$F$2:$F$60,MATCH($C26,Substances!$A$2:$A$60,0))),"—"))</f>
        <v/>
      </c>
      <c r="X26" s="62" t="str">
        <f>IF($C26="","",IFERROR(IF(INDEX(Substances!$G$2:$G$60,MATCH($C26,Substances!$A$2:$A$60,0))="","",INDEX(Substances!$G$2:$G$60,MATCH($C26,Substances!$A$2:$A$60,0))),"—"))</f>
        <v/>
      </c>
      <c r="Y26" s="61" t="str">
        <f>IF($C26="","",IFERROR(IF(INDEX(Substances!$H$2:$H$60,MATCH($C26,Substances!$A$2:$A$60,0))="","",INDEX(Substances!$H$2:$H$60,MATCH($C26,Substances!$A$2:$A$60,0))),"—"))</f>
        <v/>
      </c>
      <c r="Z26" s="62" t="str">
        <f>IF($C26="","",IFERROR(IF(INDEX(Substances!$I$2:$I$60,MATCH($C26,Substances!$A$2:$A$60,0))="","",INDEX(Substances!$I$2:$I$60,MATCH($C26,Substances!$A$2:$A$60,0))),"—"))</f>
        <v/>
      </c>
      <c r="AA26" s="62" t="str">
        <f>IF($C26="","",IFERROR(IF(INDEX(Substances!$J$2:$J$60,MATCH($C26,Substances!$A$2:$A$60,0))="","",INDEX(Substances!$J$2:$J$60,MATCH($C26,Substances!$A$2:$A$60,0))),"—"))</f>
        <v/>
      </c>
      <c r="AB26" s="63" t="str">
        <f>IF($C26="","",IFERROR(IF(INDEX(Substances!$K$2:$K$60,MATCH($C26,Substances!$A$2:$A$60,0))="","",INDEX(Substances!$K$2:$K$60,MATCH($C26,Substances!$A$2:$A$60,0))),"—"))</f>
        <v/>
      </c>
      <c r="AC26" s="60" t="str">
        <f t="shared" si="0"/>
        <v/>
      </c>
      <c r="AD26" s="64" t="str">
        <f>IF($C26="","",IFERROR(N($G26)*100000+Tables!$B$4,"—"))</f>
        <v/>
      </c>
      <c r="AE26" s="65" t="str">
        <f t="shared" si="1"/>
        <v/>
      </c>
      <c r="AF26" s="65" t="str">
        <f t="shared" si="2"/>
        <v/>
      </c>
      <c r="AG26" s="64" t="str">
        <f>IF($C26="","",IFERROR(IF($D26="Gas/vapour jet",Tables!$B$4*(($W26+1)/2)^($W26/($W26-1)),"n/a"),"—"))</f>
        <v/>
      </c>
      <c r="AH26" s="66" t="str">
        <f t="shared" si="3"/>
        <v/>
      </c>
      <c r="AI26" s="67" t="str">
        <f>IF($C26="","",IFERROR(IF($D26="Gas/vapour jet","n/a",MIN(101.325,IF($P26&lt;&gt;"",$P26,IF(N(INDEX(Substances!$L$2:$L$60,MATCH($C26,Substances!$A$2:$A$60,0)))&lt;&gt;0,0.133322*10^(INDEX(Substances!$L$2:$L$60,MATCH($C26,Substances!$A$2:$A$60,0))-INDEX(Substances!$M$2:$M$60,MATCH($C26,Substances!$A$2:$A$60,0))/(INDEX(Substances!$N$2:$N$60,MATCH($C26,Substances!$A$2:$A$60,0))+$H26)),101.325*EXP(10.58*(1-($Y26+273.15)/$AE26)))))),"—"))</f>
        <v/>
      </c>
      <c r="AJ26" s="68" t="str">
        <f t="shared" si="4"/>
        <v/>
      </c>
      <c r="AK26" s="69" t="str">
        <f>IF($C26="","",IFERROR(IF($D26="Gas/vapour jet",IF($AH26="Choked",$K26*$J26*0.000001*$AD26*SQRT($W26*$U26/($L26*Tables!$B$5*$AE26)*(2/($W26+1))^(($W26+1)/($W26-1))),$K26*$J26*0.000001*$AD26*SQRT($U26/($L26*Tables!$B$5*$AE26)*(2*$W26/($W26-1))*(1-(Tables!$B$4/$AD26)^(($W26-1)/$W26))*(Tables!$B$4/$AD26)^(2/$W26))),IF($D26="Liquid jet",$AJ26*IF($M26&lt;&gt;"",$M26,IF($H26&gt;=$Y26,1,0)),6.55*$O26^0.78*$N26*$AI26*$U26^0.667/(Tables!$B$5*$AE26))),"—"))</f>
        <v/>
      </c>
      <c r="AL26" s="70" t="str">
        <f>IF($C26="","",IFERROR(Tables!$B$10*$U26*$V26,"—"))</f>
        <v/>
      </c>
      <c r="AM26" s="67" t="str">
        <f>IF($C26="","",IFERROR(INDEX(Tables!$B$15:$B$17,MATCH($E26,Tables!$A$15:$A$17,0)),"—"))</f>
        <v/>
      </c>
      <c r="AN26" s="68" t="str">
        <f>IF($C26="","",IFERROR($AK26/($AM26*$AL26)*$AF26/Tables!$B$9,"—"))</f>
        <v/>
      </c>
      <c r="AO26" s="70" t="str">
        <f>IF($C26="","",IFERROR(IF($F26="Outdoor",Tables!$B$8,$R26/3600),"—"))</f>
        <v/>
      </c>
      <c r="AP26" s="71" t="str">
        <f t="shared" si="5"/>
        <v/>
      </c>
      <c r="AQ26" s="72" t="str">
        <f>IF($C26="","",IFERROR(IF($AP26&lt;Tables!$B$7,"High",IF($F26="Outdoor","Medium",IF($AP26&lt;$Q26,"Medium","Low"))),"—"))</f>
        <v/>
      </c>
      <c r="AR26" s="73" t="str">
        <f>IF($C26="","",IFERROR(-$S26/$AO26*LN($V26*$AM26/Tables!$B$6)/60,"—"))</f>
        <v/>
      </c>
      <c r="AS26" s="74" t="str">
        <f>IF($C26="","",IFERROR(INDEX(Tables!$B$22:$J$24,MATCH($E26,Tables!$A$22:$A$24,0),MATCH($AQ26&amp;"-"&amp;$T26,Tables!$B$21:$J$21,0)),"—"))</f>
        <v/>
      </c>
      <c r="AT26" s="75" t="str">
        <f t="shared" si="6"/>
        <v/>
      </c>
      <c r="AU26" s="76" t="str">
        <f t="shared" si="7"/>
        <v/>
      </c>
      <c r="AV26" s="72" t="str">
        <f>IF($C26="","",IFERROR(IF($AU26="None required","—",$AB26&amp;" "&amp;INDEX(Tables!$B$31:$B$37,MATCH($AA26-0.001,Tables!$A$31:$A$37,1))),"—"))</f>
        <v/>
      </c>
      <c r="AW26" s="77" t="str">
        <f t="shared" si="8"/>
        <v/>
      </c>
    </row>
    <row r="27" spans="1:49" ht="18" customHeight="1" x14ac:dyDescent="0.35">
      <c r="A27" s="54"/>
      <c r="B27" s="55"/>
      <c r="C27" s="54"/>
      <c r="D27" s="54"/>
      <c r="E27" s="54"/>
      <c r="F27" s="54"/>
      <c r="G27" s="56"/>
      <c r="H27" s="57"/>
      <c r="I27" s="57"/>
      <c r="J27" s="58"/>
      <c r="K27" s="56"/>
      <c r="L27" s="56"/>
      <c r="M27" s="56"/>
      <c r="N27" s="56"/>
      <c r="O27" s="56"/>
      <c r="P27" s="56"/>
      <c r="Q27" s="59"/>
      <c r="R27" s="57"/>
      <c r="S27" s="57"/>
      <c r="T27" s="54"/>
      <c r="U27" s="60" t="str">
        <f>IF($C27="","",IFERROR(IF(INDEX(Substances!$C$2:$C$60,MATCH($C27,Substances!$A$2:$A$60,0))="","",INDEX(Substances!$C$2:$C$60,MATCH($C27,Substances!$A$2:$A$60,0))),"—"))</f>
        <v/>
      </c>
      <c r="V27" s="61" t="str">
        <f>IF($C27="","",IFERROR(IF(INDEX(Substances!$D$2:$D$60,MATCH($C27,Substances!$A$2:$A$60,0))="","",INDEX(Substances!$D$2:$D$60,MATCH($C27,Substances!$A$2:$A$60,0))),"—"))</f>
        <v/>
      </c>
      <c r="W27" s="60" t="str">
        <f>IF($C27="","",IFERROR(IF(INDEX(Substances!$F$2:$F$60,MATCH($C27,Substances!$A$2:$A$60,0))="","",INDEX(Substances!$F$2:$F$60,MATCH($C27,Substances!$A$2:$A$60,0))),"—"))</f>
        <v/>
      </c>
      <c r="X27" s="62" t="str">
        <f>IF($C27="","",IFERROR(IF(INDEX(Substances!$G$2:$G$60,MATCH($C27,Substances!$A$2:$A$60,0))="","",INDEX(Substances!$G$2:$G$60,MATCH($C27,Substances!$A$2:$A$60,0))),"—"))</f>
        <v/>
      </c>
      <c r="Y27" s="61" t="str">
        <f>IF($C27="","",IFERROR(IF(INDEX(Substances!$H$2:$H$60,MATCH($C27,Substances!$A$2:$A$60,0))="","",INDEX(Substances!$H$2:$H$60,MATCH($C27,Substances!$A$2:$A$60,0))),"—"))</f>
        <v/>
      </c>
      <c r="Z27" s="62" t="str">
        <f>IF($C27="","",IFERROR(IF(INDEX(Substances!$I$2:$I$60,MATCH($C27,Substances!$A$2:$A$60,0))="","",INDEX(Substances!$I$2:$I$60,MATCH($C27,Substances!$A$2:$A$60,0))),"—"))</f>
        <v/>
      </c>
      <c r="AA27" s="62" t="str">
        <f>IF($C27="","",IFERROR(IF(INDEX(Substances!$J$2:$J$60,MATCH($C27,Substances!$A$2:$A$60,0))="","",INDEX(Substances!$J$2:$J$60,MATCH($C27,Substances!$A$2:$A$60,0))),"—"))</f>
        <v/>
      </c>
      <c r="AB27" s="63" t="str">
        <f>IF($C27="","",IFERROR(IF(INDEX(Substances!$K$2:$K$60,MATCH($C27,Substances!$A$2:$A$60,0))="","",INDEX(Substances!$K$2:$K$60,MATCH($C27,Substances!$A$2:$A$60,0))),"—"))</f>
        <v/>
      </c>
      <c r="AC27" s="60" t="str">
        <f t="shared" si="0"/>
        <v/>
      </c>
      <c r="AD27" s="64" t="str">
        <f>IF($C27="","",IFERROR(N($G27)*100000+Tables!$B$4,"—"))</f>
        <v/>
      </c>
      <c r="AE27" s="65" t="str">
        <f t="shared" si="1"/>
        <v/>
      </c>
      <c r="AF27" s="65" t="str">
        <f t="shared" si="2"/>
        <v/>
      </c>
      <c r="AG27" s="64" t="str">
        <f>IF($C27="","",IFERROR(IF($D27="Gas/vapour jet",Tables!$B$4*(($W27+1)/2)^($W27/($W27-1)),"n/a"),"—"))</f>
        <v/>
      </c>
      <c r="AH27" s="66" t="str">
        <f t="shared" si="3"/>
        <v/>
      </c>
      <c r="AI27" s="67" t="str">
        <f>IF($C27="","",IFERROR(IF($D27="Gas/vapour jet","n/a",MIN(101.325,IF($P27&lt;&gt;"",$P27,IF(N(INDEX(Substances!$L$2:$L$60,MATCH($C27,Substances!$A$2:$A$60,0)))&lt;&gt;0,0.133322*10^(INDEX(Substances!$L$2:$L$60,MATCH($C27,Substances!$A$2:$A$60,0))-INDEX(Substances!$M$2:$M$60,MATCH($C27,Substances!$A$2:$A$60,0))/(INDEX(Substances!$N$2:$N$60,MATCH($C27,Substances!$A$2:$A$60,0))+$H27)),101.325*EXP(10.58*(1-($Y27+273.15)/$AE27)))))),"—"))</f>
        <v/>
      </c>
      <c r="AJ27" s="68" t="str">
        <f t="shared" si="4"/>
        <v/>
      </c>
      <c r="AK27" s="69" t="str">
        <f>IF($C27="","",IFERROR(IF($D27="Gas/vapour jet",IF($AH27="Choked",$K27*$J27*0.000001*$AD27*SQRT($W27*$U27/($L27*Tables!$B$5*$AE27)*(2/($W27+1))^(($W27+1)/($W27-1))),$K27*$J27*0.000001*$AD27*SQRT($U27/($L27*Tables!$B$5*$AE27)*(2*$W27/($W27-1))*(1-(Tables!$B$4/$AD27)^(($W27-1)/$W27))*(Tables!$B$4/$AD27)^(2/$W27))),IF($D27="Liquid jet",$AJ27*IF($M27&lt;&gt;"",$M27,IF($H27&gt;=$Y27,1,0)),6.55*$O27^0.78*$N27*$AI27*$U27^0.667/(Tables!$B$5*$AE27))),"—"))</f>
        <v/>
      </c>
      <c r="AL27" s="70" t="str">
        <f>IF($C27="","",IFERROR(Tables!$B$10*$U27*$V27,"—"))</f>
        <v/>
      </c>
      <c r="AM27" s="67" t="str">
        <f>IF($C27="","",IFERROR(INDEX(Tables!$B$15:$B$17,MATCH($E27,Tables!$A$15:$A$17,0)),"—"))</f>
        <v/>
      </c>
      <c r="AN27" s="68" t="str">
        <f>IF($C27="","",IFERROR($AK27/($AM27*$AL27)*$AF27/Tables!$B$9,"—"))</f>
        <v/>
      </c>
      <c r="AO27" s="70" t="str">
        <f>IF($C27="","",IFERROR(IF($F27="Outdoor",Tables!$B$8,$R27/3600),"—"))</f>
        <v/>
      </c>
      <c r="AP27" s="71" t="str">
        <f t="shared" si="5"/>
        <v/>
      </c>
      <c r="AQ27" s="72" t="str">
        <f>IF($C27="","",IFERROR(IF($AP27&lt;Tables!$B$7,"High",IF($F27="Outdoor","Medium",IF($AP27&lt;$Q27,"Medium","Low"))),"—"))</f>
        <v/>
      </c>
      <c r="AR27" s="73" t="str">
        <f>IF($C27="","",IFERROR(-$S27/$AO27*LN($V27*$AM27/Tables!$B$6)/60,"—"))</f>
        <v/>
      </c>
      <c r="AS27" s="74" t="str">
        <f>IF($C27="","",IFERROR(INDEX(Tables!$B$22:$J$24,MATCH($E27,Tables!$A$22:$A$24,0),MATCH($AQ27&amp;"-"&amp;$T27,Tables!$B$21:$J$21,0)),"—"))</f>
        <v/>
      </c>
      <c r="AT27" s="75" t="str">
        <f t="shared" si="6"/>
        <v/>
      </c>
      <c r="AU27" s="76" t="str">
        <f t="shared" si="7"/>
        <v/>
      </c>
      <c r="AV27" s="72" t="str">
        <f>IF($C27="","",IFERROR(IF($AU27="None required","—",$AB27&amp;" "&amp;INDEX(Tables!$B$31:$B$37,MATCH($AA27-0.001,Tables!$A$31:$A$37,1))),"—"))</f>
        <v/>
      </c>
      <c r="AW27" s="77" t="str">
        <f t="shared" si="8"/>
        <v/>
      </c>
    </row>
    <row r="28" spans="1:49" ht="18" customHeight="1" x14ac:dyDescent="0.35">
      <c r="A28" s="54"/>
      <c r="B28" s="55"/>
      <c r="C28" s="54"/>
      <c r="D28" s="54"/>
      <c r="E28" s="54"/>
      <c r="F28" s="54"/>
      <c r="G28" s="56"/>
      <c r="H28" s="57"/>
      <c r="I28" s="57"/>
      <c r="J28" s="58"/>
      <c r="K28" s="56"/>
      <c r="L28" s="56"/>
      <c r="M28" s="56"/>
      <c r="N28" s="56"/>
      <c r="O28" s="56"/>
      <c r="P28" s="56"/>
      <c r="Q28" s="59"/>
      <c r="R28" s="57"/>
      <c r="S28" s="57"/>
      <c r="T28" s="54"/>
      <c r="U28" s="60" t="str">
        <f>IF($C28="","",IFERROR(IF(INDEX(Substances!$C$2:$C$60,MATCH($C28,Substances!$A$2:$A$60,0))="","",INDEX(Substances!$C$2:$C$60,MATCH($C28,Substances!$A$2:$A$60,0))),"—"))</f>
        <v/>
      </c>
      <c r="V28" s="61" t="str">
        <f>IF($C28="","",IFERROR(IF(INDEX(Substances!$D$2:$D$60,MATCH($C28,Substances!$A$2:$A$60,0))="","",INDEX(Substances!$D$2:$D$60,MATCH($C28,Substances!$A$2:$A$60,0))),"—"))</f>
        <v/>
      </c>
      <c r="W28" s="60" t="str">
        <f>IF($C28="","",IFERROR(IF(INDEX(Substances!$F$2:$F$60,MATCH($C28,Substances!$A$2:$A$60,0))="","",INDEX(Substances!$F$2:$F$60,MATCH($C28,Substances!$A$2:$A$60,0))),"—"))</f>
        <v/>
      </c>
      <c r="X28" s="62" t="str">
        <f>IF($C28="","",IFERROR(IF(INDEX(Substances!$G$2:$G$60,MATCH($C28,Substances!$A$2:$A$60,0))="","",INDEX(Substances!$G$2:$G$60,MATCH($C28,Substances!$A$2:$A$60,0))),"—"))</f>
        <v/>
      </c>
      <c r="Y28" s="61" t="str">
        <f>IF($C28="","",IFERROR(IF(INDEX(Substances!$H$2:$H$60,MATCH($C28,Substances!$A$2:$A$60,0))="","",INDEX(Substances!$H$2:$H$60,MATCH($C28,Substances!$A$2:$A$60,0))),"—"))</f>
        <v/>
      </c>
      <c r="Z28" s="62" t="str">
        <f>IF($C28="","",IFERROR(IF(INDEX(Substances!$I$2:$I$60,MATCH($C28,Substances!$A$2:$A$60,0))="","",INDEX(Substances!$I$2:$I$60,MATCH($C28,Substances!$A$2:$A$60,0))),"—"))</f>
        <v/>
      </c>
      <c r="AA28" s="62" t="str">
        <f>IF($C28="","",IFERROR(IF(INDEX(Substances!$J$2:$J$60,MATCH($C28,Substances!$A$2:$A$60,0))="","",INDEX(Substances!$J$2:$J$60,MATCH($C28,Substances!$A$2:$A$60,0))),"—"))</f>
        <v/>
      </c>
      <c r="AB28" s="63" t="str">
        <f>IF($C28="","",IFERROR(IF(INDEX(Substances!$K$2:$K$60,MATCH($C28,Substances!$A$2:$A$60,0))="","",INDEX(Substances!$K$2:$K$60,MATCH($C28,Substances!$A$2:$A$60,0))),"—"))</f>
        <v/>
      </c>
      <c r="AC28" s="60" t="str">
        <f t="shared" si="0"/>
        <v/>
      </c>
      <c r="AD28" s="64" t="str">
        <f>IF($C28="","",IFERROR(N($G28)*100000+Tables!$B$4,"—"))</f>
        <v/>
      </c>
      <c r="AE28" s="65" t="str">
        <f t="shared" si="1"/>
        <v/>
      </c>
      <c r="AF28" s="65" t="str">
        <f t="shared" si="2"/>
        <v/>
      </c>
      <c r="AG28" s="64" t="str">
        <f>IF($C28="","",IFERROR(IF($D28="Gas/vapour jet",Tables!$B$4*(($W28+1)/2)^($W28/($W28-1)),"n/a"),"—"))</f>
        <v/>
      </c>
      <c r="AH28" s="66" t="str">
        <f t="shared" si="3"/>
        <v/>
      </c>
      <c r="AI28" s="67" t="str">
        <f>IF($C28="","",IFERROR(IF($D28="Gas/vapour jet","n/a",MIN(101.325,IF($P28&lt;&gt;"",$P28,IF(N(INDEX(Substances!$L$2:$L$60,MATCH($C28,Substances!$A$2:$A$60,0)))&lt;&gt;0,0.133322*10^(INDEX(Substances!$L$2:$L$60,MATCH($C28,Substances!$A$2:$A$60,0))-INDEX(Substances!$M$2:$M$60,MATCH($C28,Substances!$A$2:$A$60,0))/(INDEX(Substances!$N$2:$N$60,MATCH($C28,Substances!$A$2:$A$60,0))+$H28)),101.325*EXP(10.58*(1-($Y28+273.15)/$AE28)))))),"—"))</f>
        <v/>
      </c>
      <c r="AJ28" s="68" t="str">
        <f t="shared" si="4"/>
        <v/>
      </c>
      <c r="AK28" s="69" t="str">
        <f>IF($C28="","",IFERROR(IF($D28="Gas/vapour jet",IF($AH28="Choked",$K28*$J28*0.000001*$AD28*SQRT($W28*$U28/($L28*Tables!$B$5*$AE28)*(2/($W28+1))^(($W28+1)/($W28-1))),$K28*$J28*0.000001*$AD28*SQRT($U28/($L28*Tables!$B$5*$AE28)*(2*$W28/($W28-1))*(1-(Tables!$B$4/$AD28)^(($W28-1)/$W28))*(Tables!$B$4/$AD28)^(2/$W28))),IF($D28="Liquid jet",$AJ28*IF($M28&lt;&gt;"",$M28,IF($H28&gt;=$Y28,1,0)),6.55*$O28^0.78*$N28*$AI28*$U28^0.667/(Tables!$B$5*$AE28))),"—"))</f>
        <v/>
      </c>
      <c r="AL28" s="70" t="str">
        <f>IF($C28="","",IFERROR(Tables!$B$10*$U28*$V28,"—"))</f>
        <v/>
      </c>
      <c r="AM28" s="67" t="str">
        <f>IF($C28="","",IFERROR(INDEX(Tables!$B$15:$B$17,MATCH($E28,Tables!$A$15:$A$17,0)),"—"))</f>
        <v/>
      </c>
      <c r="AN28" s="68" t="str">
        <f>IF($C28="","",IFERROR($AK28/($AM28*$AL28)*$AF28/Tables!$B$9,"—"))</f>
        <v/>
      </c>
      <c r="AO28" s="70" t="str">
        <f>IF($C28="","",IFERROR(IF($F28="Outdoor",Tables!$B$8,$R28/3600),"—"))</f>
        <v/>
      </c>
      <c r="AP28" s="71" t="str">
        <f t="shared" si="5"/>
        <v/>
      </c>
      <c r="AQ28" s="72" t="str">
        <f>IF($C28="","",IFERROR(IF($AP28&lt;Tables!$B$7,"High",IF($F28="Outdoor","Medium",IF($AP28&lt;$Q28,"Medium","Low"))),"—"))</f>
        <v/>
      </c>
      <c r="AR28" s="73" t="str">
        <f>IF($C28="","",IFERROR(-$S28/$AO28*LN($V28*$AM28/Tables!$B$6)/60,"—"))</f>
        <v/>
      </c>
      <c r="AS28" s="74" t="str">
        <f>IF($C28="","",IFERROR(INDEX(Tables!$B$22:$J$24,MATCH($E28,Tables!$A$22:$A$24,0),MATCH($AQ28&amp;"-"&amp;$T28,Tables!$B$21:$J$21,0)),"—"))</f>
        <v/>
      </c>
      <c r="AT28" s="75" t="str">
        <f t="shared" si="6"/>
        <v/>
      </c>
      <c r="AU28" s="76" t="str">
        <f t="shared" si="7"/>
        <v/>
      </c>
      <c r="AV28" s="72" t="str">
        <f>IF($C28="","",IFERROR(IF($AU28="None required","—",$AB28&amp;" "&amp;INDEX(Tables!$B$31:$B$37,MATCH($AA28-0.001,Tables!$A$31:$A$37,1))),"—"))</f>
        <v/>
      </c>
      <c r="AW28" s="77" t="str">
        <f t="shared" si="8"/>
        <v/>
      </c>
    </row>
    <row r="29" spans="1:49" ht="18" customHeight="1" x14ac:dyDescent="0.35">
      <c r="A29" s="54"/>
      <c r="B29" s="55"/>
      <c r="C29" s="54"/>
      <c r="D29" s="54"/>
      <c r="E29" s="54"/>
      <c r="F29" s="54"/>
      <c r="G29" s="56"/>
      <c r="H29" s="57"/>
      <c r="I29" s="57"/>
      <c r="J29" s="58"/>
      <c r="K29" s="56"/>
      <c r="L29" s="56"/>
      <c r="M29" s="56"/>
      <c r="N29" s="56"/>
      <c r="O29" s="56"/>
      <c r="P29" s="56"/>
      <c r="Q29" s="59"/>
      <c r="R29" s="57"/>
      <c r="S29" s="57"/>
      <c r="T29" s="54"/>
      <c r="U29" s="60" t="str">
        <f>IF($C29="","",IFERROR(IF(INDEX(Substances!$C$2:$C$60,MATCH($C29,Substances!$A$2:$A$60,0))="","",INDEX(Substances!$C$2:$C$60,MATCH($C29,Substances!$A$2:$A$60,0))),"—"))</f>
        <v/>
      </c>
      <c r="V29" s="61" t="str">
        <f>IF($C29="","",IFERROR(IF(INDEX(Substances!$D$2:$D$60,MATCH($C29,Substances!$A$2:$A$60,0))="","",INDEX(Substances!$D$2:$D$60,MATCH($C29,Substances!$A$2:$A$60,0))),"—"))</f>
        <v/>
      </c>
      <c r="W29" s="60" t="str">
        <f>IF($C29="","",IFERROR(IF(INDEX(Substances!$F$2:$F$60,MATCH($C29,Substances!$A$2:$A$60,0))="","",INDEX(Substances!$F$2:$F$60,MATCH($C29,Substances!$A$2:$A$60,0))),"—"))</f>
        <v/>
      </c>
      <c r="X29" s="62" t="str">
        <f>IF($C29="","",IFERROR(IF(INDEX(Substances!$G$2:$G$60,MATCH($C29,Substances!$A$2:$A$60,0))="","",INDEX(Substances!$G$2:$G$60,MATCH($C29,Substances!$A$2:$A$60,0))),"—"))</f>
        <v/>
      </c>
      <c r="Y29" s="61" t="str">
        <f>IF($C29="","",IFERROR(IF(INDEX(Substances!$H$2:$H$60,MATCH($C29,Substances!$A$2:$A$60,0))="","",INDEX(Substances!$H$2:$H$60,MATCH($C29,Substances!$A$2:$A$60,0))),"—"))</f>
        <v/>
      </c>
      <c r="Z29" s="62" t="str">
        <f>IF($C29="","",IFERROR(IF(INDEX(Substances!$I$2:$I$60,MATCH($C29,Substances!$A$2:$A$60,0))="","",INDEX(Substances!$I$2:$I$60,MATCH($C29,Substances!$A$2:$A$60,0))),"—"))</f>
        <v/>
      </c>
      <c r="AA29" s="62" t="str">
        <f>IF($C29="","",IFERROR(IF(INDEX(Substances!$J$2:$J$60,MATCH($C29,Substances!$A$2:$A$60,0))="","",INDEX(Substances!$J$2:$J$60,MATCH($C29,Substances!$A$2:$A$60,0))),"—"))</f>
        <v/>
      </c>
      <c r="AB29" s="63" t="str">
        <f>IF($C29="","",IFERROR(IF(INDEX(Substances!$K$2:$K$60,MATCH($C29,Substances!$A$2:$A$60,0))="","",INDEX(Substances!$K$2:$K$60,MATCH($C29,Substances!$A$2:$A$60,0))),"—"))</f>
        <v/>
      </c>
      <c r="AC29" s="60" t="str">
        <f t="shared" si="0"/>
        <v/>
      </c>
      <c r="AD29" s="64" t="str">
        <f>IF($C29="","",IFERROR(N($G29)*100000+Tables!$B$4,"—"))</f>
        <v/>
      </c>
      <c r="AE29" s="65" t="str">
        <f t="shared" si="1"/>
        <v/>
      </c>
      <c r="AF29" s="65" t="str">
        <f t="shared" si="2"/>
        <v/>
      </c>
      <c r="AG29" s="64" t="str">
        <f>IF($C29="","",IFERROR(IF($D29="Gas/vapour jet",Tables!$B$4*(($W29+1)/2)^($W29/($W29-1)),"n/a"),"—"))</f>
        <v/>
      </c>
      <c r="AH29" s="66" t="str">
        <f t="shared" si="3"/>
        <v/>
      </c>
      <c r="AI29" s="67" t="str">
        <f>IF($C29="","",IFERROR(IF($D29="Gas/vapour jet","n/a",MIN(101.325,IF($P29&lt;&gt;"",$P29,IF(N(INDEX(Substances!$L$2:$L$60,MATCH($C29,Substances!$A$2:$A$60,0)))&lt;&gt;0,0.133322*10^(INDEX(Substances!$L$2:$L$60,MATCH($C29,Substances!$A$2:$A$60,0))-INDEX(Substances!$M$2:$M$60,MATCH($C29,Substances!$A$2:$A$60,0))/(INDEX(Substances!$N$2:$N$60,MATCH($C29,Substances!$A$2:$A$60,0))+$H29)),101.325*EXP(10.58*(1-($Y29+273.15)/$AE29)))))),"—"))</f>
        <v/>
      </c>
      <c r="AJ29" s="68" t="str">
        <f t="shared" si="4"/>
        <v/>
      </c>
      <c r="AK29" s="69" t="str">
        <f>IF($C29="","",IFERROR(IF($D29="Gas/vapour jet",IF($AH29="Choked",$K29*$J29*0.000001*$AD29*SQRT($W29*$U29/($L29*Tables!$B$5*$AE29)*(2/($W29+1))^(($W29+1)/($W29-1))),$K29*$J29*0.000001*$AD29*SQRT($U29/($L29*Tables!$B$5*$AE29)*(2*$W29/($W29-1))*(1-(Tables!$B$4/$AD29)^(($W29-1)/$W29))*(Tables!$B$4/$AD29)^(2/$W29))),IF($D29="Liquid jet",$AJ29*IF($M29&lt;&gt;"",$M29,IF($H29&gt;=$Y29,1,0)),6.55*$O29^0.78*$N29*$AI29*$U29^0.667/(Tables!$B$5*$AE29))),"—"))</f>
        <v/>
      </c>
      <c r="AL29" s="70" t="str">
        <f>IF($C29="","",IFERROR(Tables!$B$10*$U29*$V29,"—"))</f>
        <v/>
      </c>
      <c r="AM29" s="67" t="str">
        <f>IF($C29="","",IFERROR(INDEX(Tables!$B$15:$B$17,MATCH($E29,Tables!$A$15:$A$17,0)),"—"))</f>
        <v/>
      </c>
      <c r="AN29" s="68" t="str">
        <f>IF($C29="","",IFERROR($AK29/($AM29*$AL29)*$AF29/Tables!$B$9,"—"))</f>
        <v/>
      </c>
      <c r="AO29" s="70" t="str">
        <f>IF($C29="","",IFERROR(IF($F29="Outdoor",Tables!$B$8,$R29/3600),"—"))</f>
        <v/>
      </c>
      <c r="AP29" s="71" t="str">
        <f t="shared" si="5"/>
        <v/>
      </c>
      <c r="AQ29" s="72" t="str">
        <f>IF($C29="","",IFERROR(IF($AP29&lt;Tables!$B$7,"High",IF($F29="Outdoor","Medium",IF($AP29&lt;$Q29,"Medium","Low"))),"—"))</f>
        <v/>
      </c>
      <c r="AR29" s="73" t="str">
        <f>IF($C29="","",IFERROR(-$S29/$AO29*LN($V29*$AM29/Tables!$B$6)/60,"—"))</f>
        <v/>
      </c>
      <c r="AS29" s="74" t="str">
        <f>IF($C29="","",IFERROR(INDEX(Tables!$B$22:$J$24,MATCH($E29,Tables!$A$22:$A$24,0),MATCH($AQ29&amp;"-"&amp;$T29,Tables!$B$21:$J$21,0)),"—"))</f>
        <v/>
      </c>
      <c r="AT29" s="75" t="str">
        <f t="shared" si="6"/>
        <v/>
      </c>
      <c r="AU29" s="76" t="str">
        <f t="shared" si="7"/>
        <v/>
      </c>
      <c r="AV29" s="72" t="str">
        <f>IF($C29="","",IFERROR(IF($AU29="None required","—",$AB29&amp;" "&amp;INDEX(Tables!$B$31:$B$37,MATCH($AA29-0.001,Tables!$A$31:$A$37,1))),"—"))</f>
        <v/>
      </c>
      <c r="AW29" s="77" t="str">
        <f t="shared" si="8"/>
        <v/>
      </c>
    </row>
    <row r="30" spans="1:49" ht="18" customHeight="1" x14ac:dyDescent="0.35">
      <c r="A30" s="54"/>
      <c r="B30" s="55"/>
      <c r="C30" s="54"/>
      <c r="D30" s="54"/>
      <c r="E30" s="54"/>
      <c r="F30" s="54"/>
      <c r="G30" s="56"/>
      <c r="H30" s="57"/>
      <c r="I30" s="57"/>
      <c r="J30" s="58"/>
      <c r="K30" s="56"/>
      <c r="L30" s="56"/>
      <c r="M30" s="56"/>
      <c r="N30" s="56"/>
      <c r="O30" s="56"/>
      <c r="P30" s="56"/>
      <c r="Q30" s="59"/>
      <c r="R30" s="57"/>
      <c r="S30" s="57"/>
      <c r="T30" s="54"/>
      <c r="U30" s="60" t="str">
        <f>IF($C30="","",IFERROR(IF(INDEX(Substances!$C$2:$C$60,MATCH($C30,Substances!$A$2:$A$60,0))="","",INDEX(Substances!$C$2:$C$60,MATCH($C30,Substances!$A$2:$A$60,0))),"—"))</f>
        <v/>
      </c>
      <c r="V30" s="61" t="str">
        <f>IF($C30="","",IFERROR(IF(INDEX(Substances!$D$2:$D$60,MATCH($C30,Substances!$A$2:$A$60,0))="","",INDEX(Substances!$D$2:$D$60,MATCH($C30,Substances!$A$2:$A$60,0))),"—"))</f>
        <v/>
      </c>
      <c r="W30" s="60" t="str">
        <f>IF($C30="","",IFERROR(IF(INDEX(Substances!$F$2:$F$60,MATCH($C30,Substances!$A$2:$A$60,0))="","",INDEX(Substances!$F$2:$F$60,MATCH($C30,Substances!$A$2:$A$60,0))),"—"))</f>
        <v/>
      </c>
      <c r="X30" s="62" t="str">
        <f>IF($C30="","",IFERROR(IF(INDEX(Substances!$G$2:$G$60,MATCH($C30,Substances!$A$2:$A$60,0))="","",INDEX(Substances!$G$2:$G$60,MATCH($C30,Substances!$A$2:$A$60,0))),"—"))</f>
        <v/>
      </c>
      <c r="Y30" s="61" t="str">
        <f>IF($C30="","",IFERROR(IF(INDEX(Substances!$H$2:$H$60,MATCH($C30,Substances!$A$2:$A$60,0))="","",INDEX(Substances!$H$2:$H$60,MATCH($C30,Substances!$A$2:$A$60,0))),"—"))</f>
        <v/>
      </c>
      <c r="Z30" s="62" t="str">
        <f>IF($C30="","",IFERROR(IF(INDEX(Substances!$I$2:$I$60,MATCH($C30,Substances!$A$2:$A$60,0))="","",INDEX(Substances!$I$2:$I$60,MATCH($C30,Substances!$A$2:$A$60,0))),"—"))</f>
        <v/>
      </c>
      <c r="AA30" s="62" t="str">
        <f>IF($C30="","",IFERROR(IF(INDEX(Substances!$J$2:$J$60,MATCH($C30,Substances!$A$2:$A$60,0))="","",INDEX(Substances!$J$2:$J$60,MATCH($C30,Substances!$A$2:$A$60,0))),"—"))</f>
        <v/>
      </c>
      <c r="AB30" s="63" t="str">
        <f>IF($C30="","",IFERROR(IF(INDEX(Substances!$K$2:$K$60,MATCH($C30,Substances!$A$2:$A$60,0))="","",INDEX(Substances!$K$2:$K$60,MATCH($C30,Substances!$A$2:$A$60,0))),"—"))</f>
        <v/>
      </c>
      <c r="AC30" s="60" t="str">
        <f t="shared" si="0"/>
        <v/>
      </c>
      <c r="AD30" s="64" t="str">
        <f>IF($C30="","",IFERROR(N($G30)*100000+Tables!$B$4,"—"))</f>
        <v/>
      </c>
      <c r="AE30" s="65" t="str">
        <f t="shared" si="1"/>
        <v/>
      </c>
      <c r="AF30" s="65" t="str">
        <f t="shared" si="2"/>
        <v/>
      </c>
      <c r="AG30" s="64" t="str">
        <f>IF($C30="","",IFERROR(IF($D30="Gas/vapour jet",Tables!$B$4*(($W30+1)/2)^($W30/($W30-1)),"n/a"),"—"))</f>
        <v/>
      </c>
      <c r="AH30" s="66" t="str">
        <f t="shared" si="3"/>
        <v/>
      </c>
      <c r="AI30" s="67" t="str">
        <f>IF($C30="","",IFERROR(IF($D30="Gas/vapour jet","n/a",MIN(101.325,IF($P30&lt;&gt;"",$P30,IF(N(INDEX(Substances!$L$2:$L$60,MATCH($C30,Substances!$A$2:$A$60,0)))&lt;&gt;0,0.133322*10^(INDEX(Substances!$L$2:$L$60,MATCH($C30,Substances!$A$2:$A$60,0))-INDEX(Substances!$M$2:$M$60,MATCH($C30,Substances!$A$2:$A$60,0))/(INDEX(Substances!$N$2:$N$60,MATCH($C30,Substances!$A$2:$A$60,0))+$H30)),101.325*EXP(10.58*(1-($Y30+273.15)/$AE30)))))),"—"))</f>
        <v/>
      </c>
      <c r="AJ30" s="68" t="str">
        <f t="shared" si="4"/>
        <v/>
      </c>
      <c r="AK30" s="69" t="str">
        <f>IF($C30="","",IFERROR(IF($D30="Gas/vapour jet",IF($AH30="Choked",$K30*$J30*0.000001*$AD30*SQRT($W30*$U30/($L30*Tables!$B$5*$AE30)*(2/($W30+1))^(($W30+1)/($W30-1))),$K30*$J30*0.000001*$AD30*SQRT($U30/($L30*Tables!$B$5*$AE30)*(2*$W30/($W30-1))*(1-(Tables!$B$4/$AD30)^(($W30-1)/$W30))*(Tables!$B$4/$AD30)^(2/$W30))),IF($D30="Liquid jet",$AJ30*IF($M30&lt;&gt;"",$M30,IF($H30&gt;=$Y30,1,0)),6.55*$O30^0.78*$N30*$AI30*$U30^0.667/(Tables!$B$5*$AE30))),"—"))</f>
        <v/>
      </c>
      <c r="AL30" s="70" t="str">
        <f>IF($C30="","",IFERROR(Tables!$B$10*$U30*$V30,"—"))</f>
        <v/>
      </c>
      <c r="AM30" s="67" t="str">
        <f>IF($C30="","",IFERROR(INDEX(Tables!$B$15:$B$17,MATCH($E30,Tables!$A$15:$A$17,0)),"—"))</f>
        <v/>
      </c>
      <c r="AN30" s="68" t="str">
        <f>IF($C30="","",IFERROR($AK30/($AM30*$AL30)*$AF30/Tables!$B$9,"—"))</f>
        <v/>
      </c>
      <c r="AO30" s="70" t="str">
        <f>IF($C30="","",IFERROR(IF($F30="Outdoor",Tables!$B$8,$R30/3600),"—"))</f>
        <v/>
      </c>
      <c r="AP30" s="71" t="str">
        <f t="shared" si="5"/>
        <v/>
      </c>
      <c r="AQ30" s="72" t="str">
        <f>IF($C30="","",IFERROR(IF($AP30&lt;Tables!$B$7,"High",IF($F30="Outdoor","Medium",IF($AP30&lt;$Q30,"Medium","Low"))),"—"))</f>
        <v/>
      </c>
      <c r="AR30" s="73" t="str">
        <f>IF($C30="","",IFERROR(-$S30/$AO30*LN($V30*$AM30/Tables!$B$6)/60,"—"))</f>
        <v/>
      </c>
      <c r="AS30" s="74" t="str">
        <f>IF($C30="","",IFERROR(INDEX(Tables!$B$22:$J$24,MATCH($E30,Tables!$A$22:$A$24,0),MATCH($AQ30&amp;"-"&amp;$T30,Tables!$B$21:$J$21,0)),"—"))</f>
        <v/>
      </c>
      <c r="AT30" s="75" t="str">
        <f t="shared" si="6"/>
        <v/>
      </c>
      <c r="AU30" s="76" t="str">
        <f t="shared" si="7"/>
        <v/>
      </c>
      <c r="AV30" s="72" t="str">
        <f>IF($C30="","",IFERROR(IF($AU30="None required","—",$AB30&amp;" "&amp;INDEX(Tables!$B$31:$B$37,MATCH($AA30-0.001,Tables!$A$31:$A$37,1))),"—"))</f>
        <v/>
      </c>
      <c r="AW30" s="77" t="str">
        <f t="shared" si="8"/>
        <v/>
      </c>
    </row>
    <row r="31" spans="1:49" ht="18" customHeight="1" x14ac:dyDescent="0.35">
      <c r="A31" s="54"/>
      <c r="B31" s="55"/>
      <c r="C31" s="54"/>
      <c r="D31" s="54"/>
      <c r="E31" s="54"/>
      <c r="F31" s="54"/>
      <c r="G31" s="56"/>
      <c r="H31" s="57"/>
      <c r="I31" s="57"/>
      <c r="J31" s="58"/>
      <c r="K31" s="56"/>
      <c r="L31" s="56"/>
      <c r="M31" s="56"/>
      <c r="N31" s="56"/>
      <c r="O31" s="56"/>
      <c r="P31" s="56"/>
      <c r="Q31" s="59"/>
      <c r="R31" s="57"/>
      <c r="S31" s="57"/>
      <c r="T31" s="54"/>
      <c r="U31" s="60" t="str">
        <f>IF($C31="","",IFERROR(IF(INDEX(Substances!$C$2:$C$60,MATCH($C31,Substances!$A$2:$A$60,0))="","",INDEX(Substances!$C$2:$C$60,MATCH($C31,Substances!$A$2:$A$60,0))),"—"))</f>
        <v/>
      </c>
      <c r="V31" s="61" t="str">
        <f>IF($C31="","",IFERROR(IF(INDEX(Substances!$D$2:$D$60,MATCH($C31,Substances!$A$2:$A$60,0))="","",INDEX(Substances!$D$2:$D$60,MATCH($C31,Substances!$A$2:$A$60,0))),"—"))</f>
        <v/>
      </c>
      <c r="W31" s="60" t="str">
        <f>IF($C31="","",IFERROR(IF(INDEX(Substances!$F$2:$F$60,MATCH($C31,Substances!$A$2:$A$60,0))="","",INDEX(Substances!$F$2:$F$60,MATCH($C31,Substances!$A$2:$A$60,0))),"—"))</f>
        <v/>
      </c>
      <c r="X31" s="62" t="str">
        <f>IF($C31="","",IFERROR(IF(INDEX(Substances!$G$2:$G$60,MATCH($C31,Substances!$A$2:$A$60,0))="","",INDEX(Substances!$G$2:$G$60,MATCH($C31,Substances!$A$2:$A$60,0))),"—"))</f>
        <v/>
      </c>
      <c r="Y31" s="61" t="str">
        <f>IF($C31="","",IFERROR(IF(INDEX(Substances!$H$2:$H$60,MATCH($C31,Substances!$A$2:$A$60,0))="","",INDEX(Substances!$H$2:$H$60,MATCH($C31,Substances!$A$2:$A$60,0))),"—"))</f>
        <v/>
      </c>
      <c r="Z31" s="62" t="str">
        <f>IF($C31="","",IFERROR(IF(INDEX(Substances!$I$2:$I$60,MATCH($C31,Substances!$A$2:$A$60,0))="","",INDEX(Substances!$I$2:$I$60,MATCH($C31,Substances!$A$2:$A$60,0))),"—"))</f>
        <v/>
      </c>
      <c r="AA31" s="62" t="str">
        <f>IF($C31="","",IFERROR(IF(INDEX(Substances!$J$2:$J$60,MATCH($C31,Substances!$A$2:$A$60,0))="","",INDEX(Substances!$J$2:$J$60,MATCH($C31,Substances!$A$2:$A$60,0))),"—"))</f>
        <v/>
      </c>
      <c r="AB31" s="63" t="str">
        <f>IF($C31="","",IFERROR(IF(INDEX(Substances!$K$2:$K$60,MATCH($C31,Substances!$A$2:$A$60,0))="","",INDEX(Substances!$K$2:$K$60,MATCH($C31,Substances!$A$2:$A$60,0))),"—"))</f>
        <v/>
      </c>
      <c r="AC31" s="60" t="str">
        <f t="shared" si="0"/>
        <v/>
      </c>
      <c r="AD31" s="64" t="str">
        <f>IF($C31="","",IFERROR(N($G31)*100000+Tables!$B$4,"—"))</f>
        <v/>
      </c>
      <c r="AE31" s="65" t="str">
        <f t="shared" si="1"/>
        <v/>
      </c>
      <c r="AF31" s="65" t="str">
        <f t="shared" si="2"/>
        <v/>
      </c>
      <c r="AG31" s="64" t="str">
        <f>IF($C31="","",IFERROR(IF($D31="Gas/vapour jet",Tables!$B$4*(($W31+1)/2)^($W31/($W31-1)),"n/a"),"—"))</f>
        <v/>
      </c>
      <c r="AH31" s="66" t="str">
        <f t="shared" si="3"/>
        <v/>
      </c>
      <c r="AI31" s="67" t="str">
        <f>IF($C31="","",IFERROR(IF($D31="Gas/vapour jet","n/a",MIN(101.325,IF($P31&lt;&gt;"",$P31,IF(N(INDEX(Substances!$L$2:$L$60,MATCH($C31,Substances!$A$2:$A$60,0)))&lt;&gt;0,0.133322*10^(INDEX(Substances!$L$2:$L$60,MATCH($C31,Substances!$A$2:$A$60,0))-INDEX(Substances!$M$2:$M$60,MATCH($C31,Substances!$A$2:$A$60,0))/(INDEX(Substances!$N$2:$N$60,MATCH($C31,Substances!$A$2:$A$60,0))+$H31)),101.325*EXP(10.58*(1-($Y31+273.15)/$AE31)))))),"—"))</f>
        <v/>
      </c>
      <c r="AJ31" s="68" t="str">
        <f t="shared" si="4"/>
        <v/>
      </c>
      <c r="AK31" s="69" t="str">
        <f>IF($C31="","",IFERROR(IF($D31="Gas/vapour jet",IF($AH31="Choked",$K31*$J31*0.000001*$AD31*SQRT($W31*$U31/($L31*Tables!$B$5*$AE31)*(2/($W31+1))^(($W31+1)/($W31-1))),$K31*$J31*0.000001*$AD31*SQRT($U31/($L31*Tables!$B$5*$AE31)*(2*$W31/($W31-1))*(1-(Tables!$B$4/$AD31)^(($W31-1)/$W31))*(Tables!$B$4/$AD31)^(2/$W31))),IF($D31="Liquid jet",$AJ31*IF($M31&lt;&gt;"",$M31,IF($H31&gt;=$Y31,1,0)),6.55*$O31^0.78*$N31*$AI31*$U31^0.667/(Tables!$B$5*$AE31))),"—"))</f>
        <v/>
      </c>
      <c r="AL31" s="70" t="str">
        <f>IF($C31="","",IFERROR(Tables!$B$10*$U31*$V31,"—"))</f>
        <v/>
      </c>
      <c r="AM31" s="67" t="str">
        <f>IF($C31="","",IFERROR(INDEX(Tables!$B$15:$B$17,MATCH($E31,Tables!$A$15:$A$17,0)),"—"))</f>
        <v/>
      </c>
      <c r="AN31" s="68" t="str">
        <f>IF($C31="","",IFERROR($AK31/($AM31*$AL31)*$AF31/Tables!$B$9,"—"))</f>
        <v/>
      </c>
      <c r="AO31" s="70" t="str">
        <f>IF($C31="","",IFERROR(IF($F31="Outdoor",Tables!$B$8,$R31/3600),"—"))</f>
        <v/>
      </c>
      <c r="AP31" s="71" t="str">
        <f t="shared" si="5"/>
        <v/>
      </c>
      <c r="AQ31" s="72" t="str">
        <f>IF($C31="","",IFERROR(IF($AP31&lt;Tables!$B$7,"High",IF($F31="Outdoor","Medium",IF($AP31&lt;$Q31,"Medium","Low"))),"—"))</f>
        <v/>
      </c>
      <c r="AR31" s="73" t="str">
        <f>IF($C31="","",IFERROR(-$S31/$AO31*LN($V31*$AM31/Tables!$B$6)/60,"—"))</f>
        <v/>
      </c>
      <c r="AS31" s="74" t="str">
        <f>IF($C31="","",IFERROR(INDEX(Tables!$B$22:$J$24,MATCH($E31,Tables!$A$22:$A$24,0),MATCH($AQ31&amp;"-"&amp;$T31,Tables!$B$21:$J$21,0)),"—"))</f>
        <v/>
      </c>
      <c r="AT31" s="75" t="str">
        <f t="shared" si="6"/>
        <v/>
      </c>
      <c r="AU31" s="76" t="str">
        <f t="shared" si="7"/>
        <v/>
      </c>
      <c r="AV31" s="72" t="str">
        <f>IF($C31="","",IFERROR(IF($AU31="None required","—",$AB31&amp;" "&amp;INDEX(Tables!$B$31:$B$37,MATCH($AA31-0.001,Tables!$A$31:$A$37,1))),"—"))</f>
        <v/>
      </c>
      <c r="AW31" s="77" t="str">
        <f t="shared" si="8"/>
        <v/>
      </c>
    </row>
    <row r="32" spans="1:49" ht="18" customHeight="1" x14ac:dyDescent="0.35">
      <c r="A32" s="54"/>
      <c r="B32" s="55"/>
      <c r="C32" s="54"/>
      <c r="D32" s="54"/>
      <c r="E32" s="54"/>
      <c r="F32" s="54"/>
      <c r="G32" s="56"/>
      <c r="H32" s="57"/>
      <c r="I32" s="57"/>
      <c r="J32" s="58"/>
      <c r="K32" s="56"/>
      <c r="L32" s="56"/>
      <c r="M32" s="56"/>
      <c r="N32" s="56"/>
      <c r="O32" s="56"/>
      <c r="P32" s="56"/>
      <c r="Q32" s="59"/>
      <c r="R32" s="57"/>
      <c r="S32" s="57"/>
      <c r="T32" s="54"/>
      <c r="U32" s="60" t="str">
        <f>IF($C32="","",IFERROR(IF(INDEX(Substances!$C$2:$C$60,MATCH($C32,Substances!$A$2:$A$60,0))="","",INDEX(Substances!$C$2:$C$60,MATCH($C32,Substances!$A$2:$A$60,0))),"—"))</f>
        <v/>
      </c>
      <c r="V32" s="61" t="str">
        <f>IF($C32="","",IFERROR(IF(INDEX(Substances!$D$2:$D$60,MATCH($C32,Substances!$A$2:$A$60,0))="","",INDEX(Substances!$D$2:$D$60,MATCH($C32,Substances!$A$2:$A$60,0))),"—"))</f>
        <v/>
      </c>
      <c r="W32" s="60" t="str">
        <f>IF($C32="","",IFERROR(IF(INDEX(Substances!$F$2:$F$60,MATCH($C32,Substances!$A$2:$A$60,0))="","",INDEX(Substances!$F$2:$F$60,MATCH($C32,Substances!$A$2:$A$60,0))),"—"))</f>
        <v/>
      </c>
      <c r="X32" s="62" t="str">
        <f>IF($C32="","",IFERROR(IF(INDEX(Substances!$G$2:$G$60,MATCH($C32,Substances!$A$2:$A$60,0))="","",INDEX(Substances!$G$2:$G$60,MATCH($C32,Substances!$A$2:$A$60,0))),"—"))</f>
        <v/>
      </c>
      <c r="Y32" s="61" t="str">
        <f>IF($C32="","",IFERROR(IF(INDEX(Substances!$H$2:$H$60,MATCH($C32,Substances!$A$2:$A$60,0))="","",INDEX(Substances!$H$2:$H$60,MATCH($C32,Substances!$A$2:$A$60,0))),"—"))</f>
        <v/>
      </c>
      <c r="Z32" s="62" t="str">
        <f>IF($C32="","",IFERROR(IF(INDEX(Substances!$I$2:$I$60,MATCH($C32,Substances!$A$2:$A$60,0))="","",INDEX(Substances!$I$2:$I$60,MATCH($C32,Substances!$A$2:$A$60,0))),"—"))</f>
        <v/>
      </c>
      <c r="AA32" s="62" t="str">
        <f>IF($C32="","",IFERROR(IF(INDEX(Substances!$J$2:$J$60,MATCH($C32,Substances!$A$2:$A$60,0))="","",INDEX(Substances!$J$2:$J$60,MATCH($C32,Substances!$A$2:$A$60,0))),"—"))</f>
        <v/>
      </c>
      <c r="AB32" s="63" t="str">
        <f>IF($C32="","",IFERROR(IF(INDEX(Substances!$K$2:$K$60,MATCH($C32,Substances!$A$2:$A$60,0))="","",INDEX(Substances!$K$2:$K$60,MATCH($C32,Substances!$A$2:$A$60,0))),"—"))</f>
        <v/>
      </c>
      <c r="AC32" s="60" t="str">
        <f t="shared" si="0"/>
        <v/>
      </c>
      <c r="AD32" s="64" t="str">
        <f>IF($C32="","",IFERROR(N($G32)*100000+Tables!$B$4,"—"))</f>
        <v/>
      </c>
      <c r="AE32" s="65" t="str">
        <f t="shared" si="1"/>
        <v/>
      </c>
      <c r="AF32" s="65" t="str">
        <f t="shared" si="2"/>
        <v/>
      </c>
      <c r="AG32" s="64" t="str">
        <f>IF($C32="","",IFERROR(IF($D32="Gas/vapour jet",Tables!$B$4*(($W32+1)/2)^($W32/($W32-1)),"n/a"),"—"))</f>
        <v/>
      </c>
      <c r="AH32" s="66" t="str">
        <f t="shared" si="3"/>
        <v/>
      </c>
      <c r="AI32" s="67" t="str">
        <f>IF($C32="","",IFERROR(IF($D32="Gas/vapour jet","n/a",MIN(101.325,IF($P32&lt;&gt;"",$P32,IF(N(INDEX(Substances!$L$2:$L$60,MATCH($C32,Substances!$A$2:$A$60,0)))&lt;&gt;0,0.133322*10^(INDEX(Substances!$L$2:$L$60,MATCH($C32,Substances!$A$2:$A$60,0))-INDEX(Substances!$M$2:$M$60,MATCH($C32,Substances!$A$2:$A$60,0))/(INDEX(Substances!$N$2:$N$60,MATCH($C32,Substances!$A$2:$A$60,0))+$H32)),101.325*EXP(10.58*(1-($Y32+273.15)/$AE32)))))),"—"))</f>
        <v/>
      </c>
      <c r="AJ32" s="68" t="str">
        <f t="shared" si="4"/>
        <v/>
      </c>
      <c r="AK32" s="69" t="str">
        <f>IF($C32="","",IFERROR(IF($D32="Gas/vapour jet",IF($AH32="Choked",$K32*$J32*0.000001*$AD32*SQRT($W32*$U32/($L32*Tables!$B$5*$AE32)*(2/($W32+1))^(($W32+1)/($W32-1))),$K32*$J32*0.000001*$AD32*SQRT($U32/($L32*Tables!$B$5*$AE32)*(2*$W32/($W32-1))*(1-(Tables!$B$4/$AD32)^(($W32-1)/$W32))*(Tables!$B$4/$AD32)^(2/$W32))),IF($D32="Liquid jet",$AJ32*IF($M32&lt;&gt;"",$M32,IF($H32&gt;=$Y32,1,0)),6.55*$O32^0.78*$N32*$AI32*$U32^0.667/(Tables!$B$5*$AE32))),"—"))</f>
        <v/>
      </c>
      <c r="AL32" s="70" t="str">
        <f>IF($C32="","",IFERROR(Tables!$B$10*$U32*$V32,"—"))</f>
        <v/>
      </c>
      <c r="AM32" s="67" t="str">
        <f>IF($C32="","",IFERROR(INDEX(Tables!$B$15:$B$17,MATCH($E32,Tables!$A$15:$A$17,0)),"—"))</f>
        <v/>
      </c>
      <c r="AN32" s="68" t="str">
        <f>IF($C32="","",IFERROR($AK32/($AM32*$AL32)*$AF32/Tables!$B$9,"—"))</f>
        <v/>
      </c>
      <c r="AO32" s="70" t="str">
        <f>IF($C32="","",IFERROR(IF($F32="Outdoor",Tables!$B$8,$R32/3600),"—"))</f>
        <v/>
      </c>
      <c r="AP32" s="71" t="str">
        <f t="shared" si="5"/>
        <v/>
      </c>
      <c r="AQ32" s="72" t="str">
        <f>IF($C32="","",IFERROR(IF($AP32&lt;Tables!$B$7,"High",IF($F32="Outdoor","Medium",IF($AP32&lt;$Q32,"Medium","Low"))),"—"))</f>
        <v/>
      </c>
      <c r="AR32" s="73" t="str">
        <f>IF($C32="","",IFERROR(-$S32/$AO32*LN($V32*$AM32/Tables!$B$6)/60,"—"))</f>
        <v/>
      </c>
      <c r="AS32" s="74" t="str">
        <f>IF($C32="","",IFERROR(INDEX(Tables!$B$22:$J$24,MATCH($E32,Tables!$A$22:$A$24,0),MATCH($AQ32&amp;"-"&amp;$T32,Tables!$B$21:$J$21,0)),"—"))</f>
        <v/>
      </c>
      <c r="AT32" s="75" t="str">
        <f t="shared" si="6"/>
        <v/>
      </c>
      <c r="AU32" s="76" t="str">
        <f t="shared" si="7"/>
        <v/>
      </c>
      <c r="AV32" s="72" t="str">
        <f>IF($C32="","",IFERROR(IF($AU32="None required","—",$AB32&amp;" "&amp;INDEX(Tables!$B$31:$B$37,MATCH($AA32-0.001,Tables!$A$31:$A$37,1))),"—"))</f>
        <v/>
      </c>
      <c r="AW32" s="77" t="str">
        <f t="shared" si="8"/>
        <v/>
      </c>
    </row>
    <row r="33" spans="1:49" ht="18" customHeight="1" x14ac:dyDescent="0.35">
      <c r="A33" s="54"/>
      <c r="B33" s="55"/>
      <c r="C33" s="54"/>
      <c r="D33" s="54"/>
      <c r="E33" s="54"/>
      <c r="F33" s="54"/>
      <c r="G33" s="56"/>
      <c r="H33" s="57"/>
      <c r="I33" s="57"/>
      <c r="J33" s="58"/>
      <c r="K33" s="56"/>
      <c r="L33" s="56"/>
      <c r="M33" s="56"/>
      <c r="N33" s="56"/>
      <c r="O33" s="56"/>
      <c r="P33" s="56"/>
      <c r="Q33" s="59"/>
      <c r="R33" s="57"/>
      <c r="S33" s="57"/>
      <c r="T33" s="54"/>
      <c r="U33" s="60" t="str">
        <f>IF($C33="","",IFERROR(IF(INDEX(Substances!$C$2:$C$60,MATCH($C33,Substances!$A$2:$A$60,0))="","",INDEX(Substances!$C$2:$C$60,MATCH($C33,Substances!$A$2:$A$60,0))),"—"))</f>
        <v/>
      </c>
      <c r="V33" s="61" t="str">
        <f>IF($C33="","",IFERROR(IF(INDEX(Substances!$D$2:$D$60,MATCH($C33,Substances!$A$2:$A$60,0))="","",INDEX(Substances!$D$2:$D$60,MATCH($C33,Substances!$A$2:$A$60,0))),"—"))</f>
        <v/>
      </c>
      <c r="W33" s="60" t="str">
        <f>IF($C33="","",IFERROR(IF(INDEX(Substances!$F$2:$F$60,MATCH($C33,Substances!$A$2:$A$60,0))="","",INDEX(Substances!$F$2:$F$60,MATCH($C33,Substances!$A$2:$A$60,0))),"—"))</f>
        <v/>
      </c>
      <c r="X33" s="62" t="str">
        <f>IF($C33="","",IFERROR(IF(INDEX(Substances!$G$2:$G$60,MATCH($C33,Substances!$A$2:$A$60,0))="","",INDEX(Substances!$G$2:$G$60,MATCH($C33,Substances!$A$2:$A$60,0))),"—"))</f>
        <v/>
      </c>
      <c r="Y33" s="61" t="str">
        <f>IF($C33="","",IFERROR(IF(INDEX(Substances!$H$2:$H$60,MATCH($C33,Substances!$A$2:$A$60,0))="","",INDEX(Substances!$H$2:$H$60,MATCH($C33,Substances!$A$2:$A$60,0))),"—"))</f>
        <v/>
      </c>
      <c r="Z33" s="62" t="str">
        <f>IF($C33="","",IFERROR(IF(INDEX(Substances!$I$2:$I$60,MATCH($C33,Substances!$A$2:$A$60,0))="","",INDEX(Substances!$I$2:$I$60,MATCH($C33,Substances!$A$2:$A$60,0))),"—"))</f>
        <v/>
      </c>
      <c r="AA33" s="62" t="str">
        <f>IF($C33="","",IFERROR(IF(INDEX(Substances!$J$2:$J$60,MATCH($C33,Substances!$A$2:$A$60,0))="","",INDEX(Substances!$J$2:$J$60,MATCH($C33,Substances!$A$2:$A$60,0))),"—"))</f>
        <v/>
      </c>
      <c r="AB33" s="63" t="str">
        <f>IF($C33="","",IFERROR(IF(INDEX(Substances!$K$2:$K$60,MATCH($C33,Substances!$A$2:$A$60,0))="","",INDEX(Substances!$K$2:$K$60,MATCH($C33,Substances!$A$2:$A$60,0))),"—"))</f>
        <v/>
      </c>
      <c r="AC33" s="60" t="str">
        <f t="shared" si="0"/>
        <v/>
      </c>
      <c r="AD33" s="64" t="str">
        <f>IF($C33="","",IFERROR(N($G33)*100000+Tables!$B$4,"—"))</f>
        <v/>
      </c>
      <c r="AE33" s="65" t="str">
        <f t="shared" si="1"/>
        <v/>
      </c>
      <c r="AF33" s="65" t="str">
        <f t="shared" si="2"/>
        <v/>
      </c>
      <c r="AG33" s="64" t="str">
        <f>IF($C33="","",IFERROR(IF($D33="Gas/vapour jet",Tables!$B$4*(($W33+1)/2)^($W33/($W33-1)),"n/a"),"—"))</f>
        <v/>
      </c>
      <c r="AH33" s="66" t="str">
        <f t="shared" si="3"/>
        <v/>
      </c>
      <c r="AI33" s="67" t="str">
        <f>IF($C33="","",IFERROR(IF($D33="Gas/vapour jet","n/a",MIN(101.325,IF($P33&lt;&gt;"",$P33,IF(N(INDEX(Substances!$L$2:$L$60,MATCH($C33,Substances!$A$2:$A$60,0)))&lt;&gt;0,0.133322*10^(INDEX(Substances!$L$2:$L$60,MATCH($C33,Substances!$A$2:$A$60,0))-INDEX(Substances!$M$2:$M$60,MATCH($C33,Substances!$A$2:$A$60,0))/(INDEX(Substances!$N$2:$N$60,MATCH($C33,Substances!$A$2:$A$60,0))+$H33)),101.325*EXP(10.58*(1-($Y33+273.15)/$AE33)))))),"—"))</f>
        <v/>
      </c>
      <c r="AJ33" s="68" t="str">
        <f t="shared" si="4"/>
        <v/>
      </c>
      <c r="AK33" s="69" t="str">
        <f>IF($C33="","",IFERROR(IF($D33="Gas/vapour jet",IF($AH33="Choked",$K33*$J33*0.000001*$AD33*SQRT($W33*$U33/($L33*Tables!$B$5*$AE33)*(2/($W33+1))^(($W33+1)/($W33-1))),$K33*$J33*0.000001*$AD33*SQRT($U33/($L33*Tables!$B$5*$AE33)*(2*$W33/($W33-1))*(1-(Tables!$B$4/$AD33)^(($W33-1)/$W33))*(Tables!$B$4/$AD33)^(2/$W33))),IF($D33="Liquid jet",$AJ33*IF($M33&lt;&gt;"",$M33,IF($H33&gt;=$Y33,1,0)),6.55*$O33^0.78*$N33*$AI33*$U33^0.667/(Tables!$B$5*$AE33))),"—"))</f>
        <v/>
      </c>
      <c r="AL33" s="70" t="str">
        <f>IF($C33="","",IFERROR(Tables!$B$10*$U33*$V33,"—"))</f>
        <v/>
      </c>
      <c r="AM33" s="67" t="str">
        <f>IF($C33="","",IFERROR(INDEX(Tables!$B$15:$B$17,MATCH($E33,Tables!$A$15:$A$17,0)),"—"))</f>
        <v/>
      </c>
      <c r="AN33" s="68" t="str">
        <f>IF($C33="","",IFERROR($AK33/($AM33*$AL33)*$AF33/Tables!$B$9,"—"))</f>
        <v/>
      </c>
      <c r="AO33" s="70" t="str">
        <f>IF($C33="","",IFERROR(IF($F33="Outdoor",Tables!$B$8,$R33/3600),"—"))</f>
        <v/>
      </c>
      <c r="AP33" s="71" t="str">
        <f t="shared" si="5"/>
        <v/>
      </c>
      <c r="AQ33" s="72" t="str">
        <f>IF($C33="","",IFERROR(IF($AP33&lt;Tables!$B$7,"High",IF($F33="Outdoor","Medium",IF($AP33&lt;$Q33,"Medium","Low"))),"—"))</f>
        <v/>
      </c>
      <c r="AR33" s="73" t="str">
        <f>IF($C33="","",IFERROR(-$S33/$AO33*LN($V33*$AM33/Tables!$B$6)/60,"—"))</f>
        <v/>
      </c>
      <c r="AS33" s="74" t="str">
        <f>IF($C33="","",IFERROR(INDEX(Tables!$B$22:$J$24,MATCH($E33,Tables!$A$22:$A$24,0),MATCH($AQ33&amp;"-"&amp;$T33,Tables!$B$21:$J$21,0)),"—"))</f>
        <v/>
      </c>
      <c r="AT33" s="75" t="str">
        <f t="shared" si="6"/>
        <v/>
      </c>
      <c r="AU33" s="76" t="str">
        <f t="shared" si="7"/>
        <v/>
      </c>
      <c r="AV33" s="72" t="str">
        <f>IF($C33="","",IFERROR(IF($AU33="None required","—",$AB33&amp;" "&amp;INDEX(Tables!$B$31:$B$37,MATCH($AA33-0.001,Tables!$A$31:$A$37,1))),"—"))</f>
        <v/>
      </c>
      <c r="AW33" s="77" t="str">
        <f t="shared" si="8"/>
        <v/>
      </c>
    </row>
    <row r="34" spans="1:49" ht="18" customHeight="1" x14ac:dyDescent="0.35">
      <c r="A34" s="54"/>
      <c r="B34" s="55"/>
      <c r="C34" s="54"/>
      <c r="D34" s="54"/>
      <c r="E34" s="54"/>
      <c r="F34" s="54"/>
      <c r="G34" s="56"/>
      <c r="H34" s="57"/>
      <c r="I34" s="57"/>
      <c r="J34" s="58"/>
      <c r="K34" s="56"/>
      <c r="L34" s="56"/>
      <c r="M34" s="56"/>
      <c r="N34" s="56"/>
      <c r="O34" s="56"/>
      <c r="P34" s="56"/>
      <c r="Q34" s="59"/>
      <c r="R34" s="57"/>
      <c r="S34" s="57"/>
      <c r="T34" s="54"/>
      <c r="U34" s="60" t="str">
        <f>IF($C34="","",IFERROR(IF(INDEX(Substances!$C$2:$C$60,MATCH($C34,Substances!$A$2:$A$60,0))="","",INDEX(Substances!$C$2:$C$60,MATCH($C34,Substances!$A$2:$A$60,0))),"—"))</f>
        <v/>
      </c>
      <c r="V34" s="61" t="str">
        <f>IF($C34="","",IFERROR(IF(INDEX(Substances!$D$2:$D$60,MATCH($C34,Substances!$A$2:$A$60,0))="","",INDEX(Substances!$D$2:$D$60,MATCH($C34,Substances!$A$2:$A$60,0))),"—"))</f>
        <v/>
      </c>
      <c r="W34" s="60" t="str">
        <f>IF($C34="","",IFERROR(IF(INDEX(Substances!$F$2:$F$60,MATCH($C34,Substances!$A$2:$A$60,0))="","",INDEX(Substances!$F$2:$F$60,MATCH($C34,Substances!$A$2:$A$60,0))),"—"))</f>
        <v/>
      </c>
      <c r="X34" s="62" t="str">
        <f>IF($C34="","",IFERROR(IF(INDEX(Substances!$G$2:$G$60,MATCH($C34,Substances!$A$2:$A$60,0))="","",INDEX(Substances!$G$2:$G$60,MATCH($C34,Substances!$A$2:$A$60,0))),"—"))</f>
        <v/>
      </c>
      <c r="Y34" s="61" t="str">
        <f>IF($C34="","",IFERROR(IF(INDEX(Substances!$H$2:$H$60,MATCH($C34,Substances!$A$2:$A$60,0))="","",INDEX(Substances!$H$2:$H$60,MATCH($C34,Substances!$A$2:$A$60,0))),"—"))</f>
        <v/>
      </c>
      <c r="Z34" s="62" t="str">
        <f>IF($C34="","",IFERROR(IF(INDEX(Substances!$I$2:$I$60,MATCH($C34,Substances!$A$2:$A$60,0))="","",INDEX(Substances!$I$2:$I$60,MATCH($C34,Substances!$A$2:$A$60,0))),"—"))</f>
        <v/>
      </c>
      <c r="AA34" s="62" t="str">
        <f>IF($C34="","",IFERROR(IF(INDEX(Substances!$J$2:$J$60,MATCH($C34,Substances!$A$2:$A$60,0))="","",INDEX(Substances!$J$2:$J$60,MATCH($C34,Substances!$A$2:$A$60,0))),"—"))</f>
        <v/>
      </c>
      <c r="AB34" s="63" t="str">
        <f>IF($C34="","",IFERROR(IF(INDEX(Substances!$K$2:$K$60,MATCH($C34,Substances!$A$2:$A$60,0))="","",INDEX(Substances!$K$2:$K$60,MATCH($C34,Substances!$A$2:$A$60,0))),"—"))</f>
        <v/>
      </c>
      <c r="AC34" s="60" t="str">
        <f t="shared" si="0"/>
        <v/>
      </c>
      <c r="AD34" s="64" t="str">
        <f>IF($C34="","",IFERROR(N($G34)*100000+Tables!$B$4,"—"))</f>
        <v/>
      </c>
      <c r="AE34" s="65" t="str">
        <f t="shared" si="1"/>
        <v/>
      </c>
      <c r="AF34" s="65" t="str">
        <f t="shared" si="2"/>
        <v/>
      </c>
      <c r="AG34" s="64" t="str">
        <f>IF($C34="","",IFERROR(IF($D34="Gas/vapour jet",Tables!$B$4*(($W34+1)/2)^($W34/($W34-1)),"n/a"),"—"))</f>
        <v/>
      </c>
      <c r="AH34" s="66" t="str">
        <f t="shared" si="3"/>
        <v/>
      </c>
      <c r="AI34" s="67" t="str">
        <f>IF($C34="","",IFERROR(IF($D34="Gas/vapour jet","n/a",MIN(101.325,IF($P34&lt;&gt;"",$P34,IF(N(INDEX(Substances!$L$2:$L$60,MATCH($C34,Substances!$A$2:$A$60,0)))&lt;&gt;0,0.133322*10^(INDEX(Substances!$L$2:$L$60,MATCH($C34,Substances!$A$2:$A$60,0))-INDEX(Substances!$M$2:$M$60,MATCH($C34,Substances!$A$2:$A$60,0))/(INDEX(Substances!$N$2:$N$60,MATCH($C34,Substances!$A$2:$A$60,0))+$H34)),101.325*EXP(10.58*(1-($Y34+273.15)/$AE34)))))),"—"))</f>
        <v/>
      </c>
      <c r="AJ34" s="68" t="str">
        <f t="shared" si="4"/>
        <v/>
      </c>
      <c r="AK34" s="69" t="str">
        <f>IF($C34="","",IFERROR(IF($D34="Gas/vapour jet",IF($AH34="Choked",$K34*$J34*0.000001*$AD34*SQRT($W34*$U34/($L34*Tables!$B$5*$AE34)*(2/($W34+1))^(($W34+1)/($W34-1))),$K34*$J34*0.000001*$AD34*SQRT($U34/($L34*Tables!$B$5*$AE34)*(2*$W34/($W34-1))*(1-(Tables!$B$4/$AD34)^(($W34-1)/$W34))*(Tables!$B$4/$AD34)^(2/$W34))),IF($D34="Liquid jet",$AJ34*IF($M34&lt;&gt;"",$M34,IF($H34&gt;=$Y34,1,0)),6.55*$O34^0.78*$N34*$AI34*$U34^0.667/(Tables!$B$5*$AE34))),"—"))</f>
        <v/>
      </c>
      <c r="AL34" s="70" t="str">
        <f>IF($C34="","",IFERROR(Tables!$B$10*$U34*$V34,"—"))</f>
        <v/>
      </c>
      <c r="AM34" s="67" t="str">
        <f>IF($C34="","",IFERROR(INDEX(Tables!$B$15:$B$17,MATCH($E34,Tables!$A$15:$A$17,0)),"—"))</f>
        <v/>
      </c>
      <c r="AN34" s="68" t="str">
        <f>IF($C34="","",IFERROR($AK34/($AM34*$AL34)*$AF34/Tables!$B$9,"—"))</f>
        <v/>
      </c>
      <c r="AO34" s="70" t="str">
        <f>IF($C34="","",IFERROR(IF($F34="Outdoor",Tables!$B$8,$R34/3600),"—"))</f>
        <v/>
      </c>
      <c r="AP34" s="71" t="str">
        <f t="shared" si="5"/>
        <v/>
      </c>
      <c r="AQ34" s="72" t="str">
        <f>IF($C34="","",IFERROR(IF($AP34&lt;Tables!$B$7,"High",IF($F34="Outdoor","Medium",IF($AP34&lt;$Q34,"Medium","Low"))),"—"))</f>
        <v/>
      </c>
      <c r="AR34" s="73" t="str">
        <f>IF($C34="","",IFERROR(-$S34/$AO34*LN($V34*$AM34/Tables!$B$6)/60,"—"))</f>
        <v/>
      </c>
      <c r="AS34" s="74" t="str">
        <f>IF($C34="","",IFERROR(INDEX(Tables!$B$22:$J$24,MATCH($E34,Tables!$A$22:$A$24,0),MATCH($AQ34&amp;"-"&amp;$T34,Tables!$B$21:$J$21,0)),"—"))</f>
        <v/>
      </c>
      <c r="AT34" s="75" t="str">
        <f t="shared" si="6"/>
        <v/>
      </c>
      <c r="AU34" s="76" t="str">
        <f t="shared" si="7"/>
        <v/>
      </c>
      <c r="AV34" s="72" t="str">
        <f>IF($C34="","",IFERROR(IF($AU34="None required","—",$AB34&amp;" "&amp;INDEX(Tables!$B$31:$B$37,MATCH($AA34-0.001,Tables!$A$31:$A$37,1))),"—"))</f>
        <v/>
      </c>
      <c r="AW34" s="77" t="str">
        <f t="shared" si="8"/>
        <v/>
      </c>
    </row>
    <row r="35" spans="1:49" ht="18" customHeight="1" x14ac:dyDescent="0.35">
      <c r="A35" s="54"/>
      <c r="B35" s="55"/>
      <c r="C35" s="54"/>
      <c r="D35" s="54"/>
      <c r="E35" s="54"/>
      <c r="F35" s="54"/>
      <c r="G35" s="56"/>
      <c r="H35" s="57"/>
      <c r="I35" s="57"/>
      <c r="J35" s="58"/>
      <c r="K35" s="56"/>
      <c r="L35" s="56"/>
      <c r="M35" s="56"/>
      <c r="N35" s="56"/>
      <c r="O35" s="56"/>
      <c r="P35" s="56"/>
      <c r="Q35" s="59"/>
      <c r="R35" s="57"/>
      <c r="S35" s="57"/>
      <c r="T35" s="54"/>
      <c r="U35" s="60" t="str">
        <f>IF($C35="","",IFERROR(IF(INDEX(Substances!$C$2:$C$60,MATCH($C35,Substances!$A$2:$A$60,0))="","",INDEX(Substances!$C$2:$C$60,MATCH($C35,Substances!$A$2:$A$60,0))),"—"))</f>
        <v/>
      </c>
      <c r="V35" s="61" t="str">
        <f>IF($C35="","",IFERROR(IF(INDEX(Substances!$D$2:$D$60,MATCH($C35,Substances!$A$2:$A$60,0))="","",INDEX(Substances!$D$2:$D$60,MATCH($C35,Substances!$A$2:$A$60,0))),"—"))</f>
        <v/>
      </c>
      <c r="W35" s="60" t="str">
        <f>IF($C35="","",IFERROR(IF(INDEX(Substances!$F$2:$F$60,MATCH($C35,Substances!$A$2:$A$60,0))="","",INDEX(Substances!$F$2:$F$60,MATCH($C35,Substances!$A$2:$A$60,0))),"—"))</f>
        <v/>
      </c>
      <c r="X35" s="62" t="str">
        <f>IF($C35="","",IFERROR(IF(INDEX(Substances!$G$2:$G$60,MATCH($C35,Substances!$A$2:$A$60,0))="","",INDEX(Substances!$G$2:$G$60,MATCH($C35,Substances!$A$2:$A$60,0))),"—"))</f>
        <v/>
      </c>
      <c r="Y35" s="61" t="str">
        <f>IF($C35="","",IFERROR(IF(INDEX(Substances!$H$2:$H$60,MATCH($C35,Substances!$A$2:$A$60,0))="","",INDEX(Substances!$H$2:$H$60,MATCH($C35,Substances!$A$2:$A$60,0))),"—"))</f>
        <v/>
      </c>
      <c r="Z35" s="62" t="str">
        <f>IF($C35="","",IFERROR(IF(INDEX(Substances!$I$2:$I$60,MATCH($C35,Substances!$A$2:$A$60,0))="","",INDEX(Substances!$I$2:$I$60,MATCH($C35,Substances!$A$2:$A$60,0))),"—"))</f>
        <v/>
      </c>
      <c r="AA35" s="62" t="str">
        <f>IF($C35="","",IFERROR(IF(INDEX(Substances!$J$2:$J$60,MATCH($C35,Substances!$A$2:$A$60,0))="","",INDEX(Substances!$J$2:$J$60,MATCH($C35,Substances!$A$2:$A$60,0))),"—"))</f>
        <v/>
      </c>
      <c r="AB35" s="63" t="str">
        <f>IF($C35="","",IFERROR(IF(INDEX(Substances!$K$2:$K$60,MATCH($C35,Substances!$A$2:$A$60,0))="","",INDEX(Substances!$K$2:$K$60,MATCH($C35,Substances!$A$2:$A$60,0))),"—"))</f>
        <v/>
      </c>
      <c r="AC35" s="60" t="str">
        <f t="shared" si="0"/>
        <v/>
      </c>
      <c r="AD35" s="64" t="str">
        <f>IF($C35="","",IFERROR(N($G35)*100000+Tables!$B$4,"—"))</f>
        <v/>
      </c>
      <c r="AE35" s="65" t="str">
        <f t="shared" si="1"/>
        <v/>
      </c>
      <c r="AF35" s="65" t="str">
        <f t="shared" si="2"/>
        <v/>
      </c>
      <c r="AG35" s="64" t="str">
        <f>IF($C35="","",IFERROR(IF($D35="Gas/vapour jet",Tables!$B$4*(($W35+1)/2)^($W35/($W35-1)),"n/a"),"—"))</f>
        <v/>
      </c>
      <c r="AH35" s="66" t="str">
        <f t="shared" si="3"/>
        <v/>
      </c>
      <c r="AI35" s="67" t="str">
        <f>IF($C35="","",IFERROR(IF($D35="Gas/vapour jet","n/a",MIN(101.325,IF($P35&lt;&gt;"",$P35,IF(N(INDEX(Substances!$L$2:$L$60,MATCH($C35,Substances!$A$2:$A$60,0)))&lt;&gt;0,0.133322*10^(INDEX(Substances!$L$2:$L$60,MATCH($C35,Substances!$A$2:$A$60,0))-INDEX(Substances!$M$2:$M$60,MATCH($C35,Substances!$A$2:$A$60,0))/(INDEX(Substances!$N$2:$N$60,MATCH($C35,Substances!$A$2:$A$60,0))+$H35)),101.325*EXP(10.58*(1-($Y35+273.15)/$AE35)))))),"—"))</f>
        <v/>
      </c>
      <c r="AJ35" s="68" t="str">
        <f t="shared" si="4"/>
        <v/>
      </c>
      <c r="AK35" s="69" t="str">
        <f>IF($C35="","",IFERROR(IF($D35="Gas/vapour jet",IF($AH35="Choked",$K35*$J35*0.000001*$AD35*SQRT($W35*$U35/($L35*Tables!$B$5*$AE35)*(2/($W35+1))^(($W35+1)/($W35-1))),$K35*$J35*0.000001*$AD35*SQRT($U35/($L35*Tables!$B$5*$AE35)*(2*$W35/($W35-1))*(1-(Tables!$B$4/$AD35)^(($W35-1)/$W35))*(Tables!$B$4/$AD35)^(2/$W35))),IF($D35="Liquid jet",$AJ35*IF($M35&lt;&gt;"",$M35,IF($H35&gt;=$Y35,1,0)),6.55*$O35^0.78*$N35*$AI35*$U35^0.667/(Tables!$B$5*$AE35))),"—"))</f>
        <v/>
      </c>
      <c r="AL35" s="70" t="str">
        <f>IF($C35="","",IFERROR(Tables!$B$10*$U35*$V35,"—"))</f>
        <v/>
      </c>
      <c r="AM35" s="67" t="str">
        <f>IF($C35="","",IFERROR(INDEX(Tables!$B$15:$B$17,MATCH($E35,Tables!$A$15:$A$17,0)),"—"))</f>
        <v/>
      </c>
      <c r="AN35" s="68" t="str">
        <f>IF($C35="","",IFERROR($AK35/($AM35*$AL35)*$AF35/Tables!$B$9,"—"))</f>
        <v/>
      </c>
      <c r="AO35" s="70" t="str">
        <f>IF($C35="","",IFERROR(IF($F35="Outdoor",Tables!$B$8,$R35/3600),"—"))</f>
        <v/>
      </c>
      <c r="AP35" s="71" t="str">
        <f t="shared" si="5"/>
        <v/>
      </c>
      <c r="AQ35" s="72" t="str">
        <f>IF($C35="","",IFERROR(IF($AP35&lt;Tables!$B$7,"High",IF($F35="Outdoor","Medium",IF($AP35&lt;$Q35,"Medium","Low"))),"—"))</f>
        <v/>
      </c>
      <c r="AR35" s="73" t="str">
        <f>IF($C35="","",IFERROR(-$S35/$AO35*LN($V35*$AM35/Tables!$B$6)/60,"—"))</f>
        <v/>
      </c>
      <c r="AS35" s="74" t="str">
        <f>IF($C35="","",IFERROR(INDEX(Tables!$B$22:$J$24,MATCH($E35,Tables!$A$22:$A$24,0),MATCH($AQ35&amp;"-"&amp;$T35,Tables!$B$21:$J$21,0)),"—"))</f>
        <v/>
      </c>
      <c r="AT35" s="75" t="str">
        <f t="shared" si="6"/>
        <v/>
      </c>
      <c r="AU35" s="76" t="str">
        <f t="shared" si="7"/>
        <v/>
      </c>
      <c r="AV35" s="72" t="str">
        <f>IF($C35="","",IFERROR(IF($AU35="None required","—",$AB35&amp;" "&amp;INDEX(Tables!$B$31:$B$37,MATCH($AA35-0.001,Tables!$A$31:$A$37,1))),"—"))</f>
        <v/>
      </c>
      <c r="AW35" s="77" t="str">
        <f t="shared" si="8"/>
        <v/>
      </c>
    </row>
    <row r="36" spans="1:49" ht="18" customHeight="1" x14ac:dyDescent="0.35">
      <c r="A36" s="54"/>
      <c r="B36" s="55"/>
      <c r="C36" s="54"/>
      <c r="D36" s="54"/>
      <c r="E36" s="54"/>
      <c r="F36" s="54"/>
      <c r="G36" s="56"/>
      <c r="H36" s="57"/>
      <c r="I36" s="57"/>
      <c r="J36" s="58"/>
      <c r="K36" s="56"/>
      <c r="L36" s="56"/>
      <c r="M36" s="56"/>
      <c r="N36" s="56"/>
      <c r="O36" s="56"/>
      <c r="P36" s="56"/>
      <c r="Q36" s="59"/>
      <c r="R36" s="57"/>
      <c r="S36" s="57"/>
      <c r="T36" s="54"/>
      <c r="U36" s="60" t="str">
        <f>IF($C36="","",IFERROR(IF(INDEX(Substances!$C$2:$C$60,MATCH($C36,Substances!$A$2:$A$60,0))="","",INDEX(Substances!$C$2:$C$60,MATCH($C36,Substances!$A$2:$A$60,0))),"—"))</f>
        <v/>
      </c>
      <c r="V36" s="61" t="str">
        <f>IF($C36="","",IFERROR(IF(INDEX(Substances!$D$2:$D$60,MATCH($C36,Substances!$A$2:$A$60,0))="","",INDEX(Substances!$D$2:$D$60,MATCH($C36,Substances!$A$2:$A$60,0))),"—"))</f>
        <v/>
      </c>
      <c r="W36" s="60" t="str">
        <f>IF($C36="","",IFERROR(IF(INDEX(Substances!$F$2:$F$60,MATCH($C36,Substances!$A$2:$A$60,0))="","",INDEX(Substances!$F$2:$F$60,MATCH($C36,Substances!$A$2:$A$60,0))),"—"))</f>
        <v/>
      </c>
      <c r="X36" s="62" t="str">
        <f>IF($C36="","",IFERROR(IF(INDEX(Substances!$G$2:$G$60,MATCH($C36,Substances!$A$2:$A$60,0))="","",INDEX(Substances!$G$2:$G$60,MATCH($C36,Substances!$A$2:$A$60,0))),"—"))</f>
        <v/>
      </c>
      <c r="Y36" s="61" t="str">
        <f>IF($C36="","",IFERROR(IF(INDEX(Substances!$H$2:$H$60,MATCH($C36,Substances!$A$2:$A$60,0))="","",INDEX(Substances!$H$2:$H$60,MATCH($C36,Substances!$A$2:$A$60,0))),"—"))</f>
        <v/>
      </c>
      <c r="Z36" s="62" t="str">
        <f>IF($C36="","",IFERROR(IF(INDEX(Substances!$I$2:$I$60,MATCH($C36,Substances!$A$2:$A$60,0))="","",INDEX(Substances!$I$2:$I$60,MATCH($C36,Substances!$A$2:$A$60,0))),"—"))</f>
        <v/>
      </c>
      <c r="AA36" s="62" t="str">
        <f>IF($C36="","",IFERROR(IF(INDEX(Substances!$J$2:$J$60,MATCH($C36,Substances!$A$2:$A$60,0))="","",INDEX(Substances!$J$2:$J$60,MATCH($C36,Substances!$A$2:$A$60,0))),"—"))</f>
        <v/>
      </c>
      <c r="AB36" s="63" t="str">
        <f>IF($C36="","",IFERROR(IF(INDEX(Substances!$K$2:$K$60,MATCH($C36,Substances!$A$2:$A$60,0))="","",INDEX(Substances!$K$2:$K$60,MATCH($C36,Substances!$A$2:$A$60,0))),"—"))</f>
        <v/>
      </c>
      <c r="AC36" s="60" t="str">
        <f t="shared" si="0"/>
        <v/>
      </c>
      <c r="AD36" s="64" t="str">
        <f>IF($C36="","",IFERROR(N($G36)*100000+Tables!$B$4,"—"))</f>
        <v/>
      </c>
      <c r="AE36" s="65" t="str">
        <f t="shared" si="1"/>
        <v/>
      </c>
      <c r="AF36" s="65" t="str">
        <f t="shared" si="2"/>
        <v/>
      </c>
      <c r="AG36" s="64" t="str">
        <f>IF($C36="","",IFERROR(IF($D36="Gas/vapour jet",Tables!$B$4*(($W36+1)/2)^($W36/($W36-1)),"n/a"),"—"))</f>
        <v/>
      </c>
      <c r="AH36" s="66" t="str">
        <f t="shared" si="3"/>
        <v/>
      </c>
      <c r="AI36" s="67" t="str">
        <f>IF($C36="","",IFERROR(IF($D36="Gas/vapour jet","n/a",MIN(101.325,IF($P36&lt;&gt;"",$P36,IF(N(INDEX(Substances!$L$2:$L$60,MATCH($C36,Substances!$A$2:$A$60,0)))&lt;&gt;0,0.133322*10^(INDEX(Substances!$L$2:$L$60,MATCH($C36,Substances!$A$2:$A$60,0))-INDEX(Substances!$M$2:$M$60,MATCH($C36,Substances!$A$2:$A$60,0))/(INDEX(Substances!$N$2:$N$60,MATCH($C36,Substances!$A$2:$A$60,0))+$H36)),101.325*EXP(10.58*(1-($Y36+273.15)/$AE36)))))),"—"))</f>
        <v/>
      </c>
      <c r="AJ36" s="68" t="str">
        <f t="shared" si="4"/>
        <v/>
      </c>
      <c r="AK36" s="69" t="str">
        <f>IF($C36="","",IFERROR(IF($D36="Gas/vapour jet",IF($AH36="Choked",$K36*$J36*0.000001*$AD36*SQRT($W36*$U36/($L36*Tables!$B$5*$AE36)*(2/($W36+1))^(($W36+1)/($W36-1))),$K36*$J36*0.000001*$AD36*SQRT($U36/($L36*Tables!$B$5*$AE36)*(2*$W36/($W36-1))*(1-(Tables!$B$4/$AD36)^(($W36-1)/$W36))*(Tables!$B$4/$AD36)^(2/$W36))),IF($D36="Liquid jet",$AJ36*IF($M36&lt;&gt;"",$M36,IF($H36&gt;=$Y36,1,0)),6.55*$O36^0.78*$N36*$AI36*$U36^0.667/(Tables!$B$5*$AE36))),"—"))</f>
        <v/>
      </c>
      <c r="AL36" s="70" t="str">
        <f>IF($C36="","",IFERROR(Tables!$B$10*$U36*$V36,"—"))</f>
        <v/>
      </c>
      <c r="AM36" s="67" t="str">
        <f>IF($C36="","",IFERROR(INDEX(Tables!$B$15:$B$17,MATCH($E36,Tables!$A$15:$A$17,0)),"—"))</f>
        <v/>
      </c>
      <c r="AN36" s="68" t="str">
        <f>IF($C36="","",IFERROR($AK36/($AM36*$AL36)*$AF36/Tables!$B$9,"—"))</f>
        <v/>
      </c>
      <c r="AO36" s="70" t="str">
        <f>IF($C36="","",IFERROR(IF($F36="Outdoor",Tables!$B$8,$R36/3600),"—"))</f>
        <v/>
      </c>
      <c r="AP36" s="71" t="str">
        <f t="shared" si="5"/>
        <v/>
      </c>
      <c r="AQ36" s="72" t="str">
        <f>IF($C36="","",IFERROR(IF($AP36&lt;Tables!$B$7,"High",IF($F36="Outdoor","Medium",IF($AP36&lt;$Q36,"Medium","Low"))),"—"))</f>
        <v/>
      </c>
      <c r="AR36" s="73" t="str">
        <f>IF($C36="","",IFERROR(-$S36/$AO36*LN($V36*$AM36/Tables!$B$6)/60,"—"))</f>
        <v/>
      </c>
      <c r="AS36" s="74" t="str">
        <f>IF($C36="","",IFERROR(INDEX(Tables!$B$22:$J$24,MATCH($E36,Tables!$A$22:$A$24,0),MATCH($AQ36&amp;"-"&amp;$T36,Tables!$B$21:$J$21,0)),"—"))</f>
        <v/>
      </c>
      <c r="AT36" s="75" t="str">
        <f t="shared" si="6"/>
        <v/>
      </c>
      <c r="AU36" s="76" t="str">
        <f t="shared" si="7"/>
        <v/>
      </c>
      <c r="AV36" s="72" t="str">
        <f>IF($C36="","",IFERROR(IF($AU36="None required","—",$AB36&amp;" "&amp;INDEX(Tables!$B$31:$B$37,MATCH($AA36-0.001,Tables!$A$31:$A$37,1))),"—"))</f>
        <v/>
      </c>
      <c r="AW36" s="77" t="str">
        <f t="shared" si="8"/>
        <v/>
      </c>
    </row>
    <row r="37" spans="1:49" ht="18" customHeight="1" x14ac:dyDescent="0.35">
      <c r="A37" s="54"/>
      <c r="B37" s="55"/>
      <c r="C37" s="54"/>
      <c r="D37" s="54"/>
      <c r="E37" s="54"/>
      <c r="F37" s="54"/>
      <c r="G37" s="56"/>
      <c r="H37" s="57"/>
      <c r="I37" s="57"/>
      <c r="J37" s="58"/>
      <c r="K37" s="56"/>
      <c r="L37" s="56"/>
      <c r="M37" s="56"/>
      <c r="N37" s="56"/>
      <c r="O37" s="56"/>
      <c r="P37" s="56"/>
      <c r="Q37" s="59"/>
      <c r="R37" s="57"/>
      <c r="S37" s="57"/>
      <c r="T37" s="54"/>
      <c r="U37" s="60" t="str">
        <f>IF($C37="","",IFERROR(IF(INDEX(Substances!$C$2:$C$60,MATCH($C37,Substances!$A$2:$A$60,0))="","",INDEX(Substances!$C$2:$C$60,MATCH($C37,Substances!$A$2:$A$60,0))),"—"))</f>
        <v/>
      </c>
      <c r="V37" s="61" t="str">
        <f>IF($C37="","",IFERROR(IF(INDEX(Substances!$D$2:$D$60,MATCH($C37,Substances!$A$2:$A$60,0))="","",INDEX(Substances!$D$2:$D$60,MATCH($C37,Substances!$A$2:$A$60,0))),"—"))</f>
        <v/>
      </c>
      <c r="W37" s="60" t="str">
        <f>IF($C37="","",IFERROR(IF(INDEX(Substances!$F$2:$F$60,MATCH($C37,Substances!$A$2:$A$60,0))="","",INDEX(Substances!$F$2:$F$60,MATCH($C37,Substances!$A$2:$A$60,0))),"—"))</f>
        <v/>
      </c>
      <c r="X37" s="62" t="str">
        <f>IF($C37="","",IFERROR(IF(INDEX(Substances!$G$2:$G$60,MATCH($C37,Substances!$A$2:$A$60,0))="","",INDEX(Substances!$G$2:$G$60,MATCH($C37,Substances!$A$2:$A$60,0))),"—"))</f>
        <v/>
      </c>
      <c r="Y37" s="61" t="str">
        <f>IF($C37="","",IFERROR(IF(INDEX(Substances!$H$2:$H$60,MATCH($C37,Substances!$A$2:$A$60,0))="","",INDEX(Substances!$H$2:$H$60,MATCH($C37,Substances!$A$2:$A$60,0))),"—"))</f>
        <v/>
      </c>
      <c r="Z37" s="62" t="str">
        <f>IF($C37="","",IFERROR(IF(INDEX(Substances!$I$2:$I$60,MATCH($C37,Substances!$A$2:$A$60,0))="","",INDEX(Substances!$I$2:$I$60,MATCH($C37,Substances!$A$2:$A$60,0))),"—"))</f>
        <v/>
      </c>
      <c r="AA37" s="62" t="str">
        <f>IF($C37="","",IFERROR(IF(INDEX(Substances!$J$2:$J$60,MATCH($C37,Substances!$A$2:$A$60,0))="","",INDEX(Substances!$J$2:$J$60,MATCH($C37,Substances!$A$2:$A$60,0))),"—"))</f>
        <v/>
      </c>
      <c r="AB37" s="63" t="str">
        <f>IF($C37="","",IFERROR(IF(INDEX(Substances!$K$2:$K$60,MATCH($C37,Substances!$A$2:$A$60,0))="","",INDEX(Substances!$K$2:$K$60,MATCH($C37,Substances!$A$2:$A$60,0))),"—"))</f>
        <v/>
      </c>
      <c r="AC37" s="60" t="str">
        <f t="shared" si="0"/>
        <v/>
      </c>
      <c r="AD37" s="64" t="str">
        <f>IF($C37="","",IFERROR(N($G37)*100000+Tables!$B$4,"—"))</f>
        <v/>
      </c>
      <c r="AE37" s="65" t="str">
        <f t="shared" si="1"/>
        <v/>
      </c>
      <c r="AF37" s="65" t="str">
        <f t="shared" si="2"/>
        <v/>
      </c>
      <c r="AG37" s="64" t="str">
        <f>IF($C37="","",IFERROR(IF($D37="Gas/vapour jet",Tables!$B$4*(($W37+1)/2)^($W37/($W37-1)),"n/a"),"—"))</f>
        <v/>
      </c>
      <c r="AH37" s="66" t="str">
        <f t="shared" si="3"/>
        <v/>
      </c>
      <c r="AI37" s="67" t="str">
        <f>IF($C37="","",IFERROR(IF($D37="Gas/vapour jet","n/a",MIN(101.325,IF($P37&lt;&gt;"",$P37,IF(N(INDEX(Substances!$L$2:$L$60,MATCH($C37,Substances!$A$2:$A$60,0)))&lt;&gt;0,0.133322*10^(INDEX(Substances!$L$2:$L$60,MATCH($C37,Substances!$A$2:$A$60,0))-INDEX(Substances!$M$2:$M$60,MATCH($C37,Substances!$A$2:$A$60,0))/(INDEX(Substances!$N$2:$N$60,MATCH($C37,Substances!$A$2:$A$60,0))+$H37)),101.325*EXP(10.58*(1-($Y37+273.15)/$AE37)))))),"—"))</f>
        <v/>
      </c>
      <c r="AJ37" s="68" t="str">
        <f t="shared" si="4"/>
        <v/>
      </c>
      <c r="AK37" s="69" t="str">
        <f>IF($C37="","",IFERROR(IF($D37="Gas/vapour jet",IF($AH37="Choked",$K37*$J37*0.000001*$AD37*SQRT($W37*$U37/($L37*Tables!$B$5*$AE37)*(2/($W37+1))^(($W37+1)/($W37-1))),$K37*$J37*0.000001*$AD37*SQRT($U37/($L37*Tables!$B$5*$AE37)*(2*$W37/($W37-1))*(1-(Tables!$B$4/$AD37)^(($W37-1)/$W37))*(Tables!$B$4/$AD37)^(2/$W37))),IF($D37="Liquid jet",$AJ37*IF($M37&lt;&gt;"",$M37,IF($H37&gt;=$Y37,1,0)),6.55*$O37^0.78*$N37*$AI37*$U37^0.667/(Tables!$B$5*$AE37))),"—"))</f>
        <v/>
      </c>
      <c r="AL37" s="70" t="str">
        <f>IF($C37="","",IFERROR(Tables!$B$10*$U37*$V37,"—"))</f>
        <v/>
      </c>
      <c r="AM37" s="67" t="str">
        <f>IF($C37="","",IFERROR(INDEX(Tables!$B$15:$B$17,MATCH($E37,Tables!$A$15:$A$17,0)),"—"))</f>
        <v/>
      </c>
      <c r="AN37" s="68" t="str">
        <f>IF($C37="","",IFERROR($AK37/($AM37*$AL37)*$AF37/Tables!$B$9,"—"))</f>
        <v/>
      </c>
      <c r="AO37" s="70" t="str">
        <f>IF($C37="","",IFERROR(IF($F37="Outdoor",Tables!$B$8,$R37/3600),"—"))</f>
        <v/>
      </c>
      <c r="AP37" s="71" t="str">
        <f t="shared" si="5"/>
        <v/>
      </c>
      <c r="AQ37" s="72" t="str">
        <f>IF($C37="","",IFERROR(IF($AP37&lt;Tables!$B$7,"High",IF($F37="Outdoor","Medium",IF($AP37&lt;$Q37,"Medium","Low"))),"—"))</f>
        <v/>
      </c>
      <c r="AR37" s="73" t="str">
        <f>IF($C37="","",IFERROR(-$S37/$AO37*LN($V37*$AM37/Tables!$B$6)/60,"—"))</f>
        <v/>
      </c>
      <c r="AS37" s="74" t="str">
        <f>IF($C37="","",IFERROR(INDEX(Tables!$B$22:$J$24,MATCH($E37,Tables!$A$22:$A$24,0),MATCH($AQ37&amp;"-"&amp;$T37,Tables!$B$21:$J$21,0)),"—"))</f>
        <v/>
      </c>
      <c r="AT37" s="75" t="str">
        <f t="shared" si="6"/>
        <v/>
      </c>
      <c r="AU37" s="76" t="str">
        <f t="shared" si="7"/>
        <v/>
      </c>
      <c r="AV37" s="72" t="str">
        <f>IF($C37="","",IFERROR(IF($AU37="None required","—",$AB37&amp;" "&amp;INDEX(Tables!$B$31:$B$37,MATCH($AA37-0.001,Tables!$A$31:$A$37,1))),"—"))</f>
        <v/>
      </c>
      <c r="AW37" s="77" t="str">
        <f t="shared" si="8"/>
        <v/>
      </c>
    </row>
    <row r="38" spans="1:49" ht="18" customHeight="1" x14ac:dyDescent="0.35">
      <c r="A38" s="54"/>
      <c r="B38" s="55"/>
      <c r="C38" s="54"/>
      <c r="D38" s="54"/>
      <c r="E38" s="54"/>
      <c r="F38" s="54"/>
      <c r="G38" s="56"/>
      <c r="H38" s="57"/>
      <c r="I38" s="57"/>
      <c r="J38" s="58"/>
      <c r="K38" s="56"/>
      <c r="L38" s="56"/>
      <c r="M38" s="56"/>
      <c r="N38" s="56"/>
      <c r="O38" s="56"/>
      <c r="P38" s="56"/>
      <c r="Q38" s="59"/>
      <c r="R38" s="57"/>
      <c r="S38" s="57"/>
      <c r="T38" s="54"/>
      <c r="U38" s="60" t="str">
        <f>IF($C38="","",IFERROR(IF(INDEX(Substances!$C$2:$C$60,MATCH($C38,Substances!$A$2:$A$60,0))="","",INDEX(Substances!$C$2:$C$60,MATCH($C38,Substances!$A$2:$A$60,0))),"—"))</f>
        <v/>
      </c>
      <c r="V38" s="61" t="str">
        <f>IF($C38="","",IFERROR(IF(INDEX(Substances!$D$2:$D$60,MATCH($C38,Substances!$A$2:$A$60,0))="","",INDEX(Substances!$D$2:$D$60,MATCH($C38,Substances!$A$2:$A$60,0))),"—"))</f>
        <v/>
      </c>
      <c r="W38" s="60" t="str">
        <f>IF($C38="","",IFERROR(IF(INDEX(Substances!$F$2:$F$60,MATCH($C38,Substances!$A$2:$A$60,0))="","",INDEX(Substances!$F$2:$F$60,MATCH($C38,Substances!$A$2:$A$60,0))),"—"))</f>
        <v/>
      </c>
      <c r="X38" s="62" t="str">
        <f>IF($C38="","",IFERROR(IF(INDEX(Substances!$G$2:$G$60,MATCH($C38,Substances!$A$2:$A$60,0))="","",INDEX(Substances!$G$2:$G$60,MATCH($C38,Substances!$A$2:$A$60,0))),"—"))</f>
        <v/>
      </c>
      <c r="Y38" s="61" t="str">
        <f>IF($C38="","",IFERROR(IF(INDEX(Substances!$H$2:$H$60,MATCH($C38,Substances!$A$2:$A$60,0))="","",INDEX(Substances!$H$2:$H$60,MATCH($C38,Substances!$A$2:$A$60,0))),"—"))</f>
        <v/>
      </c>
      <c r="Z38" s="62" t="str">
        <f>IF($C38="","",IFERROR(IF(INDEX(Substances!$I$2:$I$60,MATCH($C38,Substances!$A$2:$A$60,0))="","",INDEX(Substances!$I$2:$I$60,MATCH($C38,Substances!$A$2:$A$60,0))),"—"))</f>
        <v/>
      </c>
      <c r="AA38" s="62" t="str">
        <f>IF($C38="","",IFERROR(IF(INDEX(Substances!$J$2:$J$60,MATCH($C38,Substances!$A$2:$A$60,0))="","",INDEX(Substances!$J$2:$J$60,MATCH($C38,Substances!$A$2:$A$60,0))),"—"))</f>
        <v/>
      </c>
      <c r="AB38" s="63" t="str">
        <f>IF($C38="","",IFERROR(IF(INDEX(Substances!$K$2:$K$60,MATCH($C38,Substances!$A$2:$A$60,0))="","",INDEX(Substances!$K$2:$K$60,MATCH($C38,Substances!$A$2:$A$60,0))),"—"))</f>
        <v/>
      </c>
      <c r="AC38" s="60" t="str">
        <f t="shared" si="0"/>
        <v/>
      </c>
      <c r="AD38" s="64" t="str">
        <f>IF($C38="","",IFERROR(N($G38)*100000+Tables!$B$4,"—"))</f>
        <v/>
      </c>
      <c r="AE38" s="65" t="str">
        <f t="shared" si="1"/>
        <v/>
      </c>
      <c r="AF38" s="65" t="str">
        <f t="shared" si="2"/>
        <v/>
      </c>
      <c r="AG38" s="64" t="str">
        <f>IF($C38="","",IFERROR(IF($D38="Gas/vapour jet",Tables!$B$4*(($W38+1)/2)^($W38/($W38-1)),"n/a"),"—"))</f>
        <v/>
      </c>
      <c r="AH38" s="66" t="str">
        <f t="shared" si="3"/>
        <v/>
      </c>
      <c r="AI38" s="67" t="str">
        <f>IF($C38="","",IFERROR(IF($D38="Gas/vapour jet","n/a",MIN(101.325,IF($P38&lt;&gt;"",$P38,IF(N(INDEX(Substances!$L$2:$L$60,MATCH($C38,Substances!$A$2:$A$60,0)))&lt;&gt;0,0.133322*10^(INDEX(Substances!$L$2:$L$60,MATCH($C38,Substances!$A$2:$A$60,0))-INDEX(Substances!$M$2:$M$60,MATCH($C38,Substances!$A$2:$A$60,0))/(INDEX(Substances!$N$2:$N$60,MATCH($C38,Substances!$A$2:$A$60,0))+$H38)),101.325*EXP(10.58*(1-($Y38+273.15)/$AE38)))))),"—"))</f>
        <v/>
      </c>
      <c r="AJ38" s="68" t="str">
        <f t="shared" si="4"/>
        <v/>
      </c>
      <c r="AK38" s="69" t="str">
        <f>IF($C38="","",IFERROR(IF($D38="Gas/vapour jet",IF($AH38="Choked",$K38*$J38*0.000001*$AD38*SQRT($W38*$U38/($L38*Tables!$B$5*$AE38)*(2/($W38+1))^(($W38+1)/($W38-1))),$K38*$J38*0.000001*$AD38*SQRT($U38/($L38*Tables!$B$5*$AE38)*(2*$W38/($W38-1))*(1-(Tables!$B$4/$AD38)^(($W38-1)/$W38))*(Tables!$B$4/$AD38)^(2/$W38))),IF($D38="Liquid jet",$AJ38*IF($M38&lt;&gt;"",$M38,IF($H38&gt;=$Y38,1,0)),6.55*$O38^0.78*$N38*$AI38*$U38^0.667/(Tables!$B$5*$AE38))),"—"))</f>
        <v/>
      </c>
      <c r="AL38" s="70" t="str">
        <f>IF($C38="","",IFERROR(Tables!$B$10*$U38*$V38,"—"))</f>
        <v/>
      </c>
      <c r="AM38" s="67" t="str">
        <f>IF($C38="","",IFERROR(INDEX(Tables!$B$15:$B$17,MATCH($E38,Tables!$A$15:$A$17,0)),"—"))</f>
        <v/>
      </c>
      <c r="AN38" s="68" t="str">
        <f>IF($C38="","",IFERROR($AK38/($AM38*$AL38)*$AF38/Tables!$B$9,"—"))</f>
        <v/>
      </c>
      <c r="AO38" s="70" t="str">
        <f>IF($C38="","",IFERROR(IF($F38="Outdoor",Tables!$B$8,$R38/3600),"—"))</f>
        <v/>
      </c>
      <c r="AP38" s="71" t="str">
        <f t="shared" si="5"/>
        <v/>
      </c>
      <c r="AQ38" s="72" t="str">
        <f>IF($C38="","",IFERROR(IF($AP38&lt;Tables!$B$7,"High",IF($F38="Outdoor","Medium",IF($AP38&lt;$Q38,"Medium","Low"))),"—"))</f>
        <v/>
      </c>
      <c r="AR38" s="73" t="str">
        <f>IF($C38="","",IFERROR(-$S38/$AO38*LN($V38*$AM38/Tables!$B$6)/60,"—"))</f>
        <v/>
      </c>
      <c r="AS38" s="74" t="str">
        <f>IF($C38="","",IFERROR(INDEX(Tables!$B$22:$J$24,MATCH($E38,Tables!$A$22:$A$24,0),MATCH($AQ38&amp;"-"&amp;$T38,Tables!$B$21:$J$21,0)),"—"))</f>
        <v/>
      </c>
      <c r="AT38" s="75" t="str">
        <f t="shared" si="6"/>
        <v/>
      </c>
      <c r="AU38" s="76" t="str">
        <f t="shared" si="7"/>
        <v/>
      </c>
      <c r="AV38" s="72" t="str">
        <f>IF($C38="","",IFERROR(IF($AU38="None required","—",$AB38&amp;" "&amp;INDEX(Tables!$B$31:$B$37,MATCH($AA38-0.001,Tables!$A$31:$A$37,1))),"—"))</f>
        <v/>
      </c>
      <c r="AW38" s="77" t="str">
        <f t="shared" si="8"/>
        <v/>
      </c>
    </row>
    <row r="39" spans="1:49" ht="18" customHeight="1" x14ac:dyDescent="0.35">
      <c r="A39" s="54"/>
      <c r="B39" s="55"/>
      <c r="C39" s="54"/>
      <c r="D39" s="54"/>
      <c r="E39" s="54"/>
      <c r="F39" s="54"/>
      <c r="G39" s="56"/>
      <c r="H39" s="57"/>
      <c r="I39" s="57"/>
      <c r="J39" s="58"/>
      <c r="K39" s="56"/>
      <c r="L39" s="56"/>
      <c r="M39" s="56"/>
      <c r="N39" s="56"/>
      <c r="O39" s="56"/>
      <c r="P39" s="56"/>
      <c r="Q39" s="59"/>
      <c r="R39" s="57"/>
      <c r="S39" s="57"/>
      <c r="T39" s="54"/>
      <c r="U39" s="60" t="str">
        <f>IF($C39="","",IFERROR(IF(INDEX(Substances!$C$2:$C$60,MATCH($C39,Substances!$A$2:$A$60,0))="","",INDEX(Substances!$C$2:$C$60,MATCH($C39,Substances!$A$2:$A$60,0))),"—"))</f>
        <v/>
      </c>
      <c r="V39" s="61" t="str">
        <f>IF($C39="","",IFERROR(IF(INDEX(Substances!$D$2:$D$60,MATCH($C39,Substances!$A$2:$A$60,0))="","",INDEX(Substances!$D$2:$D$60,MATCH($C39,Substances!$A$2:$A$60,0))),"—"))</f>
        <v/>
      </c>
      <c r="W39" s="60" t="str">
        <f>IF($C39="","",IFERROR(IF(INDEX(Substances!$F$2:$F$60,MATCH($C39,Substances!$A$2:$A$60,0))="","",INDEX(Substances!$F$2:$F$60,MATCH($C39,Substances!$A$2:$A$60,0))),"—"))</f>
        <v/>
      </c>
      <c r="X39" s="62" t="str">
        <f>IF($C39="","",IFERROR(IF(INDEX(Substances!$G$2:$G$60,MATCH($C39,Substances!$A$2:$A$60,0))="","",INDEX(Substances!$G$2:$G$60,MATCH($C39,Substances!$A$2:$A$60,0))),"—"))</f>
        <v/>
      </c>
      <c r="Y39" s="61" t="str">
        <f>IF($C39="","",IFERROR(IF(INDEX(Substances!$H$2:$H$60,MATCH($C39,Substances!$A$2:$A$60,0))="","",INDEX(Substances!$H$2:$H$60,MATCH($C39,Substances!$A$2:$A$60,0))),"—"))</f>
        <v/>
      </c>
      <c r="Z39" s="62" t="str">
        <f>IF($C39="","",IFERROR(IF(INDEX(Substances!$I$2:$I$60,MATCH($C39,Substances!$A$2:$A$60,0))="","",INDEX(Substances!$I$2:$I$60,MATCH($C39,Substances!$A$2:$A$60,0))),"—"))</f>
        <v/>
      </c>
      <c r="AA39" s="62" t="str">
        <f>IF($C39="","",IFERROR(IF(INDEX(Substances!$J$2:$J$60,MATCH($C39,Substances!$A$2:$A$60,0))="","",INDEX(Substances!$J$2:$J$60,MATCH($C39,Substances!$A$2:$A$60,0))),"—"))</f>
        <v/>
      </c>
      <c r="AB39" s="63" t="str">
        <f>IF($C39="","",IFERROR(IF(INDEX(Substances!$K$2:$K$60,MATCH($C39,Substances!$A$2:$A$60,0))="","",INDEX(Substances!$K$2:$K$60,MATCH($C39,Substances!$A$2:$A$60,0))),"—"))</f>
        <v/>
      </c>
      <c r="AC39" s="60" t="str">
        <f t="shared" si="0"/>
        <v/>
      </c>
      <c r="AD39" s="64" t="str">
        <f>IF($C39="","",IFERROR(N($G39)*100000+Tables!$B$4,"—"))</f>
        <v/>
      </c>
      <c r="AE39" s="65" t="str">
        <f t="shared" si="1"/>
        <v/>
      </c>
      <c r="AF39" s="65" t="str">
        <f t="shared" si="2"/>
        <v/>
      </c>
      <c r="AG39" s="64" t="str">
        <f>IF($C39="","",IFERROR(IF($D39="Gas/vapour jet",Tables!$B$4*(($W39+1)/2)^($W39/($W39-1)),"n/a"),"—"))</f>
        <v/>
      </c>
      <c r="AH39" s="66" t="str">
        <f t="shared" si="3"/>
        <v/>
      </c>
      <c r="AI39" s="67" t="str">
        <f>IF($C39="","",IFERROR(IF($D39="Gas/vapour jet","n/a",MIN(101.325,IF($P39&lt;&gt;"",$P39,IF(N(INDEX(Substances!$L$2:$L$60,MATCH($C39,Substances!$A$2:$A$60,0)))&lt;&gt;0,0.133322*10^(INDEX(Substances!$L$2:$L$60,MATCH($C39,Substances!$A$2:$A$60,0))-INDEX(Substances!$M$2:$M$60,MATCH($C39,Substances!$A$2:$A$60,0))/(INDEX(Substances!$N$2:$N$60,MATCH($C39,Substances!$A$2:$A$60,0))+$H39)),101.325*EXP(10.58*(1-($Y39+273.15)/$AE39)))))),"—"))</f>
        <v/>
      </c>
      <c r="AJ39" s="68" t="str">
        <f t="shared" si="4"/>
        <v/>
      </c>
      <c r="AK39" s="69" t="str">
        <f>IF($C39="","",IFERROR(IF($D39="Gas/vapour jet",IF($AH39="Choked",$K39*$J39*0.000001*$AD39*SQRT($W39*$U39/($L39*Tables!$B$5*$AE39)*(2/($W39+1))^(($W39+1)/($W39-1))),$K39*$J39*0.000001*$AD39*SQRT($U39/($L39*Tables!$B$5*$AE39)*(2*$W39/($W39-1))*(1-(Tables!$B$4/$AD39)^(($W39-1)/$W39))*(Tables!$B$4/$AD39)^(2/$W39))),IF($D39="Liquid jet",$AJ39*IF($M39&lt;&gt;"",$M39,IF($H39&gt;=$Y39,1,0)),6.55*$O39^0.78*$N39*$AI39*$U39^0.667/(Tables!$B$5*$AE39))),"—"))</f>
        <v/>
      </c>
      <c r="AL39" s="70" t="str">
        <f>IF($C39="","",IFERROR(Tables!$B$10*$U39*$V39,"—"))</f>
        <v/>
      </c>
      <c r="AM39" s="67" t="str">
        <f>IF($C39="","",IFERROR(INDEX(Tables!$B$15:$B$17,MATCH($E39,Tables!$A$15:$A$17,0)),"—"))</f>
        <v/>
      </c>
      <c r="AN39" s="68" t="str">
        <f>IF($C39="","",IFERROR($AK39/($AM39*$AL39)*$AF39/Tables!$B$9,"—"))</f>
        <v/>
      </c>
      <c r="AO39" s="70" t="str">
        <f>IF($C39="","",IFERROR(IF($F39="Outdoor",Tables!$B$8,$R39/3600),"—"))</f>
        <v/>
      </c>
      <c r="AP39" s="71" t="str">
        <f t="shared" si="5"/>
        <v/>
      </c>
      <c r="AQ39" s="72" t="str">
        <f>IF($C39="","",IFERROR(IF($AP39&lt;Tables!$B$7,"High",IF($F39="Outdoor","Medium",IF($AP39&lt;$Q39,"Medium","Low"))),"—"))</f>
        <v/>
      </c>
      <c r="AR39" s="73" t="str">
        <f>IF($C39="","",IFERROR(-$S39/$AO39*LN($V39*$AM39/Tables!$B$6)/60,"—"))</f>
        <v/>
      </c>
      <c r="AS39" s="74" t="str">
        <f>IF($C39="","",IFERROR(INDEX(Tables!$B$22:$J$24,MATCH($E39,Tables!$A$22:$A$24,0),MATCH($AQ39&amp;"-"&amp;$T39,Tables!$B$21:$J$21,0)),"—"))</f>
        <v/>
      </c>
      <c r="AT39" s="75" t="str">
        <f t="shared" si="6"/>
        <v/>
      </c>
      <c r="AU39" s="76" t="str">
        <f t="shared" si="7"/>
        <v/>
      </c>
      <c r="AV39" s="72" t="str">
        <f>IF($C39="","",IFERROR(IF($AU39="None required","—",$AB39&amp;" "&amp;INDEX(Tables!$B$31:$B$37,MATCH($AA39-0.001,Tables!$A$31:$A$37,1))),"—"))</f>
        <v/>
      </c>
      <c r="AW39" s="77" t="str">
        <f t="shared" si="8"/>
        <v/>
      </c>
    </row>
    <row r="40" spans="1:49" ht="18" customHeight="1" x14ac:dyDescent="0.35">
      <c r="A40" s="54"/>
      <c r="B40" s="55"/>
      <c r="C40" s="54"/>
      <c r="D40" s="54"/>
      <c r="E40" s="54"/>
      <c r="F40" s="54"/>
      <c r="G40" s="56"/>
      <c r="H40" s="57"/>
      <c r="I40" s="57"/>
      <c r="J40" s="58"/>
      <c r="K40" s="56"/>
      <c r="L40" s="56"/>
      <c r="M40" s="56"/>
      <c r="N40" s="56"/>
      <c r="O40" s="56"/>
      <c r="P40" s="56"/>
      <c r="Q40" s="59"/>
      <c r="R40" s="57"/>
      <c r="S40" s="57"/>
      <c r="T40" s="54"/>
      <c r="U40" s="60" t="str">
        <f>IF($C40="","",IFERROR(IF(INDEX(Substances!$C$2:$C$60,MATCH($C40,Substances!$A$2:$A$60,0))="","",INDEX(Substances!$C$2:$C$60,MATCH($C40,Substances!$A$2:$A$60,0))),"—"))</f>
        <v/>
      </c>
      <c r="V40" s="61" t="str">
        <f>IF($C40="","",IFERROR(IF(INDEX(Substances!$D$2:$D$60,MATCH($C40,Substances!$A$2:$A$60,0))="","",INDEX(Substances!$D$2:$D$60,MATCH($C40,Substances!$A$2:$A$60,0))),"—"))</f>
        <v/>
      </c>
      <c r="W40" s="60" t="str">
        <f>IF($C40="","",IFERROR(IF(INDEX(Substances!$F$2:$F$60,MATCH($C40,Substances!$A$2:$A$60,0))="","",INDEX(Substances!$F$2:$F$60,MATCH($C40,Substances!$A$2:$A$60,0))),"—"))</f>
        <v/>
      </c>
      <c r="X40" s="62" t="str">
        <f>IF($C40="","",IFERROR(IF(INDEX(Substances!$G$2:$G$60,MATCH($C40,Substances!$A$2:$A$60,0))="","",INDEX(Substances!$G$2:$G$60,MATCH($C40,Substances!$A$2:$A$60,0))),"—"))</f>
        <v/>
      </c>
      <c r="Y40" s="61" t="str">
        <f>IF($C40="","",IFERROR(IF(INDEX(Substances!$H$2:$H$60,MATCH($C40,Substances!$A$2:$A$60,0))="","",INDEX(Substances!$H$2:$H$60,MATCH($C40,Substances!$A$2:$A$60,0))),"—"))</f>
        <v/>
      </c>
      <c r="Z40" s="62" t="str">
        <f>IF($C40="","",IFERROR(IF(INDEX(Substances!$I$2:$I$60,MATCH($C40,Substances!$A$2:$A$60,0))="","",INDEX(Substances!$I$2:$I$60,MATCH($C40,Substances!$A$2:$A$60,0))),"—"))</f>
        <v/>
      </c>
      <c r="AA40" s="62" t="str">
        <f>IF($C40="","",IFERROR(IF(INDEX(Substances!$J$2:$J$60,MATCH($C40,Substances!$A$2:$A$60,0))="","",INDEX(Substances!$J$2:$J$60,MATCH($C40,Substances!$A$2:$A$60,0))),"—"))</f>
        <v/>
      </c>
      <c r="AB40" s="63" t="str">
        <f>IF($C40="","",IFERROR(IF(INDEX(Substances!$K$2:$K$60,MATCH($C40,Substances!$A$2:$A$60,0))="","",INDEX(Substances!$K$2:$K$60,MATCH($C40,Substances!$A$2:$A$60,0))),"—"))</f>
        <v/>
      </c>
      <c r="AC40" s="60" t="str">
        <f t="shared" ref="AC40:AC57" si="9">IF($C40="","",IFERROR($U40/28.96,"—"))</f>
        <v/>
      </c>
      <c r="AD40" s="64" t="str">
        <f>IF($C40="","",IFERROR(N($G40)*100000+Tables!$B$4,"—"))</f>
        <v/>
      </c>
      <c r="AE40" s="65" t="str">
        <f t="shared" ref="AE40:AE57" si="10">IF($C40="","",IFERROR($H40+273.15,"—"))</f>
        <v/>
      </c>
      <c r="AF40" s="65" t="str">
        <f t="shared" ref="AF40:AF57" si="11">IF($C40="","",IFERROR($I40+273.15,"—"))</f>
        <v/>
      </c>
      <c r="AG40" s="64" t="str">
        <f>IF($C40="","",IFERROR(IF($D40="Gas/vapour jet",Tables!$B$4*(($W40+1)/2)^($W40/($W40-1)),"n/a"),"—"))</f>
        <v/>
      </c>
      <c r="AH40" s="66" t="str">
        <f t="shared" ref="AH40:AH57" si="12">IF($C40="","",IFERROR(IF($D40="Gas/vapour jet",IF($AD40&gt;$AG40,"Choked","Subsonic"),"n/a"),"—"))</f>
        <v/>
      </c>
      <c r="AI40" s="67" t="str">
        <f>IF($C40="","",IFERROR(IF($D40="Gas/vapour jet","n/a",MIN(101.325,IF($P40&lt;&gt;"",$P40,IF(N(INDEX(Substances!$L$2:$L$60,MATCH($C40,Substances!$A$2:$A$60,0)))&lt;&gt;0,0.133322*10^(INDEX(Substances!$L$2:$L$60,MATCH($C40,Substances!$A$2:$A$60,0))-INDEX(Substances!$M$2:$M$60,MATCH($C40,Substances!$A$2:$A$60,0))/(INDEX(Substances!$N$2:$N$60,MATCH($C40,Substances!$A$2:$A$60,0))+$H40)),101.325*EXP(10.58*(1-($Y40+273.15)/$AE40)))))),"—"))</f>
        <v/>
      </c>
      <c r="AJ40" s="68" t="str">
        <f t="shared" ref="AJ40:AJ57" si="13">IF($C40="","",IFERROR(IF($D40="Liquid jet",$K40*$J40*0.000001*SQRT(2*$X40*N($G40)*100000),"n/a"),"—"))</f>
        <v/>
      </c>
      <c r="AK40" s="69" t="str">
        <f>IF($C40="","",IFERROR(IF($D40="Gas/vapour jet",IF($AH40="Choked",$K40*$J40*0.000001*$AD40*SQRT($W40*$U40/($L40*Tables!$B$5*$AE40)*(2/($W40+1))^(($W40+1)/($W40-1))),$K40*$J40*0.000001*$AD40*SQRT($U40/($L40*Tables!$B$5*$AE40)*(2*$W40/($W40-1))*(1-(Tables!$B$4/$AD40)^(($W40-1)/$W40))*(Tables!$B$4/$AD40)^(2/$W40))),IF($D40="Liquid jet",$AJ40*IF($M40&lt;&gt;"",$M40,IF($H40&gt;=$Y40,1,0)),6.55*$O40^0.78*$N40*$AI40*$U40^0.667/(Tables!$B$5*$AE40))),"—"))</f>
        <v/>
      </c>
      <c r="AL40" s="70" t="str">
        <f>IF($C40="","",IFERROR(Tables!$B$10*$U40*$V40,"—"))</f>
        <v/>
      </c>
      <c r="AM40" s="67" t="str">
        <f>IF($C40="","",IFERROR(INDEX(Tables!$B$15:$B$17,MATCH($E40,Tables!$A$15:$A$17,0)),"—"))</f>
        <v/>
      </c>
      <c r="AN40" s="68" t="str">
        <f>IF($C40="","",IFERROR($AK40/($AM40*$AL40)*$AF40/Tables!$B$9,"—"))</f>
        <v/>
      </c>
      <c r="AO40" s="70" t="str">
        <f>IF($C40="","",IFERROR(IF($F40="Outdoor",Tables!$B$8,$R40/3600),"—"))</f>
        <v/>
      </c>
      <c r="AP40" s="71" t="str">
        <f t="shared" ref="AP40:AP57" si="14">IF($C40="","",IFERROR($S40*$AN40/$AO40,"—"))</f>
        <v/>
      </c>
      <c r="AQ40" s="72" t="str">
        <f>IF($C40="","",IFERROR(IF($AP40&lt;Tables!$B$7,"High",IF($F40="Outdoor","Medium",IF($AP40&lt;$Q40,"Medium","Low"))),"—"))</f>
        <v/>
      </c>
      <c r="AR40" s="73" t="str">
        <f>IF($C40="","",IFERROR(-$S40/$AO40*LN($V40*$AM40/Tables!$B$6)/60,"—"))</f>
        <v/>
      </c>
      <c r="AS40" s="74" t="str">
        <f>IF($C40="","",IFERROR(INDEX(Tables!$B$22:$J$24,MATCH($E40,Tables!$A$22:$A$24,0),MATCH($AQ40&amp;"-"&amp;$T40,Tables!$B$21:$J$21,0)),"—"))</f>
        <v/>
      </c>
      <c r="AT40" s="75" t="str">
        <f t="shared" ref="AT40:AT57" si="15">IF($C40="","",IFERROR((3*$AP40/(2*PI()))^(1/3),"—"))</f>
        <v/>
      </c>
      <c r="AU40" s="76" t="str">
        <f t="shared" ref="AU40:AU57" si="16">IF($C40="","",IFERROR(IF(ISNUMBER(SEARCH("Zone 0",IFERROR(LEFT($AS40,FIND("(",$AS40)-1),$AS40))),"Ga",IF(ISNUMBER(SEARCH("Zone 1",IFERROR(LEFT($AS40,FIND("(",$AS40)-1),$AS40))),"Gb",IF(ISNUMBER(SEARCH("Zone 2",IFERROR(LEFT($AS40,FIND("(",$AS40)-1),$AS40))),"Gc","None required"))),"—"))</f>
        <v/>
      </c>
      <c r="AV40" s="72" t="str">
        <f>IF($C40="","",IFERROR(IF($AU40="None required","—",$AB40&amp;" "&amp;INDEX(Tables!$B$31:$B$37,MATCH($AA40-0.001,Tables!$A$31:$A$37,1))),"—"))</f>
        <v/>
      </c>
      <c r="AW40" s="77" t="str">
        <f t="shared" ref="AW40:AW57" si="17">IF($C40="","",TRIM(IF(IF(ISNUMBER($Z40),$H40&lt;$Z40-5,FALSE()),"Handled &gt;5°C below flash point — may not need zoning (unless mist/spray). ","")&amp;IF(IF(AND($D40="Pool evaporation",ISNUMBER($Y40)),$H40&gt;=$Y40,FALSE()),"Liquid at/above boiling point — pool equation not valid, treat as gas release. ","")&amp;IF(IF(AND($D40="Liquid jet",$M40="",ISNUMBER($Y40)),$H40&lt;$Y40,FALSE()),"Non-flashing liquid: vapour rate set to 0 — model the resulting pool on its own row. ","")&amp;IF(AND($D40="Gas/vapour jet",NOT(ISNUMBER($W40))),"No γ in library for this substance. ","")&amp;IF(IF(ISNUMBER($AC40),$AC40&gt;1.2,FALSE()),"Heavier than air — extend zone at low level / into pits and drains. ","")&amp;IF($AQ40="Low","Vz ≥ V0: ventilation cannot control the release — whole room affected. ","")&amp;IF(AND($F40="Indoor",OR($Q40="",$R40="")),"Indoor: enter room volume and air changes. ","")))</f>
        <v/>
      </c>
    </row>
    <row r="41" spans="1:49" ht="18" customHeight="1" x14ac:dyDescent="0.35">
      <c r="A41" s="54"/>
      <c r="B41" s="55"/>
      <c r="C41" s="54"/>
      <c r="D41" s="54"/>
      <c r="E41" s="54"/>
      <c r="F41" s="54"/>
      <c r="G41" s="56"/>
      <c r="H41" s="57"/>
      <c r="I41" s="57"/>
      <c r="J41" s="58"/>
      <c r="K41" s="56"/>
      <c r="L41" s="56"/>
      <c r="M41" s="56"/>
      <c r="N41" s="56"/>
      <c r="O41" s="56"/>
      <c r="P41" s="56"/>
      <c r="Q41" s="59"/>
      <c r="R41" s="57"/>
      <c r="S41" s="57"/>
      <c r="T41" s="54"/>
      <c r="U41" s="60" t="str">
        <f>IF($C41="","",IFERROR(IF(INDEX(Substances!$C$2:$C$60,MATCH($C41,Substances!$A$2:$A$60,0))="","",INDEX(Substances!$C$2:$C$60,MATCH($C41,Substances!$A$2:$A$60,0))),"—"))</f>
        <v/>
      </c>
      <c r="V41" s="61" t="str">
        <f>IF($C41="","",IFERROR(IF(INDEX(Substances!$D$2:$D$60,MATCH($C41,Substances!$A$2:$A$60,0))="","",INDEX(Substances!$D$2:$D$60,MATCH($C41,Substances!$A$2:$A$60,0))),"—"))</f>
        <v/>
      </c>
      <c r="W41" s="60" t="str">
        <f>IF($C41="","",IFERROR(IF(INDEX(Substances!$F$2:$F$60,MATCH($C41,Substances!$A$2:$A$60,0))="","",INDEX(Substances!$F$2:$F$60,MATCH($C41,Substances!$A$2:$A$60,0))),"—"))</f>
        <v/>
      </c>
      <c r="X41" s="62" t="str">
        <f>IF($C41="","",IFERROR(IF(INDEX(Substances!$G$2:$G$60,MATCH($C41,Substances!$A$2:$A$60,0))="","",INDEX(Substances!$G$2:$G$60,MATCH($C41,Substances!$A$2:$A$60,0))),"—"))</f>
        <v/>
      </c>
      <c r="Y41" s="61" t="str">
        <f>IF($C41="","",IFERROR(IF(INDEX(Substances!$H$2:$H$60,MATCH($C41,Substances!$A$2:$A$60,0))="","",INDEX(Substances!$H$2:$H$60,MATCH($C41,Substances!$A$2:$A$60,0))),"—"))</f>
        <v/>
      </c>
      <c r="Z41" s="62" t="str">
        <f>IF($C41="","",IFERROR(IF(INDEX(Substances!$I$2:$I$60,MATCH($C41,Substances!$A$2:$A$60,0))="","",INDEX(Substances!$I$2:$I$60,MATCH($C41,Substances!$A$2:$A$60,0))),"—"))</f>
        <v/>
      </c>
      <c r="AA41" s="62" t="str">
        <f>IF($C41="","",IFERROR(IF(INDEX(Substances!$J$2:$J$60,MATCH($C41,Substances!$A$2:$A$60,0))="","",INDEX(Substances!$J$2:$J$60,MATCH($C41,Substances!$A$2:$A$60,0))),"—"))</f>
        <v/>
      </c>
      <c r="AB41" s="63" t="str">
        <f>IF($C41="","",IFERROR(IF(INDEX(Substances!$K$2:$K$60,MATCH($C41,Substances!$A$2:$A$60,0))="","",INDEX(Substances!$K$2:$K$60,MATCH($C41,Substances!$A$2:$A$60,0))),"—"))</f>
        <v/>
      </c>
      <c r="AC41" s="60" t="str">
        <f t="shared" si="9"/>
        <v/>
      </c>
      <c r="AD41" s="64" t="str">
        <f>IF($C41="","",IFERROR(N($G41)*100000+Tables!$B$4,"—"))</f>
        <v/>
      </c>
      <c r="AE41" s="65" t="str">
        <f t="shared" si="10"/>
        <v/>
      </c>
      <c r="AF41" s="65" t="str">
        <f t="shared" si="11"/>
        <v/>
      </c>
      <c r="AG41" s="64" t="str">
        <f>IF($C41="","",IFERROR(IF($D41="Gas/vapour jet",Tables!$B$4*(($W41+1)/2)^($W41/($W41-1)),"n/a"),"—"))</f>
        <v/>
      </c>
      <c r="AH41" s="66" t="str">
        <f t="shared" si="12"/>
        <v/>
      </c>
      <c r="AI41" s="67" t="str">
        <f>IF($C41="","",IFERROR(IF($D41="Gas/vapour jet","n/a",MIN(101.325,IF($P41&lt;&gt;"",$P41,IF(N(INDEX(Substances!$L$2:$L$60,MATCH($C41,Substances!$A$2:$A$60,0)))&lt;&gt;0,0.133322*10^(INDEX(Substances!$L$2:$L$60,MATCH($C41,Substances!$A$2:$A$60,0))-INDEX(Substances!$M$2:$M$60,MATCH($C41,Substances!$A$2:$A$60,0))/(INDEX(Substances!$N$2:$N$60,MATCH($C41,Substances!$A$2:$A$60,0))+$H41)),101.325*EXP(10.58*(1-($Y41+273.15)/$AE41)))))),"—"))</f>
        <v/>
      </c>
      <c r="AJ41" s="68" t="str">
        <f t="shared" si="13"/>
        <v/>
      </c>
      <c r="AK41" s="69" t="str">
        <f>IF($C41="","",IFERROR(IF($D41="Gas/vapour jet",IF($AH41="Choked",$K41*$J41*0.000001*$AD41*SQRT($W41*$U41/($L41*Tables!$B$5*$AE41)*(2/($W41+1))^(($W41+1)/($W41-1))),$K41*$J41*0.000001*$AD41*SQRT($U41/($L41*Tables!$B$5*$AE41)*(2*$W41/($W41-1))*(1-(Tables!$B$4/$AD41)^(($W41-1)/$W41))*(Tables!$B$4/$AD41)^(2/$W41))),IF($D41="Liquid jet",$AJ41*IF($M41&lt;&gt;"",$M41,IF($H41&gt;=$Y41,1,0)),6.55*$O41^0.78*$N41*$AI41*$U41^0.667/(Tables!$B$5*$AE41))),"—"))</f>
        <v/>
      </c>
      <c r="AL41" s="70" t="str">
        <f>IF($C41="","",IFERROR(Tables!$B$10*$U41*$V41,"—"))</f>
        <v/>
      </c>
      <c r="AM41" s="67" t="str">
        <f>IF($C41="","",IFERROR(INDEX(Tables!$B$15:$B$17,MATCH($E41,Tables!$A$15:$A$17,0)),"—"))</f>
        <v/>
      </c>
      <c r="AN41" s="68" t="str">
        <f>IF($C41="","",IFERROR($AK41/($AM41*$AL41)*$AF41/Tables!$B$9,"—"))</f>
        <v/>
      </c>
      <c r="AO41" s="70" t="str">
        <f>IF($C41="","",IFERROR(IF($F41="Outdoor",Tables!$B$8,$R41/3600),"—"))</f>
        <v/>
      </c>
      <c r="AP41" s="71" t="str">
        <f t="shared" si="14"/>
        <v/>
      </c>
      <c r="AQ41" s="72" t="str">
        <f>IF($C41="","",IFERROR(IF($AP41&lt;Tables!$B$7,"High",IF($F41="Outdoor","Medium",IF($AP41&lt;$Q41,"Medium","Low"))),"—"))</f>
        <v/>
      </c>
      <c r="AR41" s="73" t="str">
        <f>IF($C41="","",IFERROR(-$S41/$AO41*LN($V41*$AM41/Tables!$B$6)/60,"—"))</f>
        <v/>
      </c>
      <c r="AS41" s="74" t="str">
        <f>IF($C41="","",IFERROR(INDEX(Tables!$B$22:$J$24,MATCH($E41,Tables!$A$22:$A$24,0),MATCH($AQ41&amp;"-"&amp;$T41,Tables!$B$21:$J$21,0)),"—"))</f>
        <v/>
      </c>
      <c r="AT41" s="75" t="str">
        <f t="shared" si="15"/>
        <v/>
      </c>
      <c r="AU41" s="76" t="str">
        <f t="shared" si="16"/>
        <v/>
      </c>
      <c r="AV41" s="72" t="str">
        <f>IF($C41="","",IFERROR(IF($AU41="None required","—",$AB41&amp;" "&amp;INDEX(Tables!$B$31:$B$37,MATCH($AA41-0.001,Tables!$A$31:$A$37,1))),"—"))</f>
        <v/>
      </c>
      <c r="AW41" s="77" t="str">
        <f t="shared" si="17"/>
        <v/>
      </c>
    </row>
    <row r="42" spans="1:49" ht="18" customHeight="1" x14ac:dyDescent="0.35">
      <c r="A42" s="54"/>
      <c r="B42" s="55"/>
      <c r="C42" s="54"/>
      <c r="D42" s="54"/>
      <c r="E42" s="54"/>
      <c r="F42" s="54"/>
      <c r="G42" s="56"/>
      <c r="H42" s="57"/>
      <c r="I42" s="57"/>
      <c r="J42" s="58"/>
      <c r="K42" s="56"/>
      <c r="L42" s="56"/>
      <c r="M42" s="56"/>
      <c r="N42" s="56"/>
      <c r="O42" s="56"/>
      <c r="P42" s="56"/>
      <c r="Q42" s="59"/>
      <c r="R42" s="57"/>
      <c r="S42" s="57"/>
      <c r="T42" s="54"/>
      <c r="U42" s="60" t="str">
        <f>IF($C42="","",IFERROR(IF(INDEX(Substances!$C$2:$C$60,MATCH($C42,Substances!$A$2:$A$60,0))="","",INDEX(Substances!$C$2:$C$60,MATCH($C42,Substances!$A$2:$A$60,0))),"—"))</f>
        <v/>
      </c>
      <c r="V42" s="61" t="str">
        <f>IF($C42="","",IFERROR(IF(INDEX(Substances!$D$2:$D$60,MATCH($C42,Substances!$A$2:$A$60,0))="","",INDEX(Substances!$D$2:$D$60,MATCH($C42,Substances!$A$2:$A$60,0))),"—"))</f>
        <v/>
      </c>
      <c r="W42" s="60" t="str">
        <f>IF($C42="","",IFERROR(IF(INDEX(Substances!$F$2:$F$60,MATCH($C42,Substances!$A$2:$A$60,0))="","",INDEX(Substances!$F$2:$F$60,MATCH($C42,Substances!$A$2:$A$60,0))),"—"))</f>
        <v/>
      </c>
      <c r="X42" s="62" t="str">
        <f>IF($C42="","",IFERROR(IF(INDEX(Substances!$G$2:$G$60,MATCH($C42,Substances!$A$2:$A$60,0))="","",INDEX(Substances!$G$2:$G$60,MATCH($C42,Substances!$A$2:$A$60,0))),"—"))</f>
        <v/>
      </c>
      <c r="Y42" s="61" t="str">
        <f>IF($C42="","",IFERROR(IF(INDEX(Substances!$H$2:$H$60,MATCH($C42,Substances!$A$2:$A$60,0))="","",INDEX(Substances!$H$2:$H$60,MATCH($C42,Substances!$A$2:$A$60,0))),"—"))</f>
        <v/>
      </c>
      <c r="Z42" s="62" t="str">
        <f>IF($C42="","",IFERROR(IF(INDEX(Substances!$I$2:$I$60,MATCH($C42,Substances!$A$2:$A$60,0))="","",INDEX(Substances!$I$2:$I$60,MATCH($C42,Substances!$A$2:$A$60,0))),"—"))</f>
        <v/>
      </c>
      <c r="AA42" s="62" t="str">
        <f>IF($C42="","",IFERROR(IF(INDEX(Substances!$J$2:$J$60,MATCH($C42,Substances!$A$2:$A$60,0))="","",INDEX(Substances!$J$2:$J$60,MATCH($C42,Substances!$A$2:$A$60,0))),"—"))</f>
        <v/>
      </c>
      <c r="AB42" s="63" t="str">
        <f>IF($C42="","",IFERROR(IF(INDEX(Substances!$K$2:$K$60,MATCH($C42,Substances!$A$2:$A$60,0))="","",INDEX(Substances!$K$2:$K$60,MATCH($C42,Substances!$A$2:$A$60,0))),"—"))</f>
        <v/>
      </c>
      <c r="AC42" s="60" t="str">
        <f t="shared" si="9"/>
        <v/>
      </c>
      <c r="AD42" s="64" t="str">
        <f>IF($C42="","",IFERROR(N($G42)*100000+Tables!$B$4,"—"))</f>
        <v/>
      </c>
      <c r="AE42" s="65" t="str">
        <f t="shared" si="10"/>
        <v/>
      </c>
      <c r="AF42" s="65" t="str">
        <f t="shared" si="11"/>
        <v/>
      </c>
      <c r="AG42" s="64" t="str">
        <f>IF($C42="","",IFERROR(IF($D42="Gas/vapour jet",Tables!$B$4*(($W42+1)/2)^($W42/($W42-1)),"n/a"),"—"))</f>
        <v/>
      </c>
      <c r="AH42" s="66" t="str">
        <f t="shared" si="12"/>
        <v/>
      </c>
      <c r="AI42" s="67" t="str">
        <f>IF($C42="","",IFERROR(IF($D42="Gas/vapour jet","n/a",MIN(101.325,IF($P42&lt;&gt;"",$P42,IF(N(INDEX(Substances!$L$2:$L$60,MATCH($C42,Substances!$A$2:$A$60,0)))&lt;&gt;0,0.133322*10^(INDEX(Substances!$L$2:$L$60,MATCH($C42,Substances!$A$2:$A$60,0))-INDEX(Substances!$M$2:$M$60,MATCH($C42,Substances!$A$2:$A$60,0))/(INDEX(Substances!$N$2:$N$60,MATCH($C42,Substances!$A$2:$A$60,0))+$H42)),101.325*EXP(10.58*(1-($Y42+273.15)/$AE42)))))),"—"))</f>
        <v/>
      </c>
      <c r="AJ42" s="68" t="str">
        <f t="shared" si="13"/>
        <v/>
      </c>
      <c r="AK42" s="69" t="str">
        <f>IF($C42="","",IFERROR(IF($D42="Gas/vapour jet",IF($AH42="Choked",$K42*$J42*0.000001*$AD42*SQRT($W42*$U42/($L42*Tables!$B$5*$AE42)*(2/($W42+1))^(($W42+1)/($W42-1))),$K42*$J42*0.000001*$AD42*SQRT($U42/($L42*Tables!$B$5*$AE42)*(2*$W42/($W42-1))*(1-(Tables!$B$4/$AD42)^(($W42-1)/$W42))*(Tables!$B$4/$AD42)^(2/$W42))),IF($D42="Liquid jet",$AJ42*IF($M42&lt;&gt;"",$M42,IF($H42&gt;=$Y42,1,0)),6.55*$O42^0.78*$N42*$AI42*$U42^0.667/(Tables!$B$5*$AE42))),"—"))</f>
        <v/>
      </c>
      <c r="AL42" s="70" t="str">
        <f>IF($C42="","",IFERROR(Tables!$B$10*$U42*$V42,"—"))</f>
        <v/>
      </c>
      <c r="AM42" s="67" t="str">
        <f>IF($C42="","",IFERROR(INDEX(Tables!$B$15:$B$17,MATCH($E42,Tables!$A$15:$A$17,0)),"—"))</f>
        <v/>
      </c>
      <c r="AN42" s="68" t="str">
        <f>IF($C42="","",IFERROR($AK42/($AM42*$AL42)*$AF42/Tables!$B$9,"—"))</f>
        <v/>
      </c>
      <c r="AO42" s="70" t="str">
        <f>IF($C42="","",IFERROR(IF($F42="Outdoor",Tables!$B$8,$R42/3600),"—"))</f>
        <v/>
      </c>
      <c r="AP42" s="71" t="str">
        <f t="shared" si="14"/>
        <v/>
      </c>
      <c r="AQ42" s="72" t="str">
        <f>IF($C42="","",IFERROR(IF($AP42&lt;Tables!$B$7,"High",IF($F42="Outdoor","Medium",IF($AP42&lt;$Q42,"Medium","Low"))),"—"))</f>
        <v/>
      </c>
      <c r="AR42" s="73" t="str">
        <f>IF($C42="","",IFERROR(-$S42/$AO42*LN($V42*$AM42/Tables!$B$6)/60,"—"))</f>
        <v/>
      </c>
      <c r="AS42" s="74" t="str">
        <f>IF($C42="","",IFERROR(INDEX(Tables!$B$22:$J$24,MATCH($E42,Tables!$A$22:$A$24,0),MATCH($AQ42&amp;"-"&amp;$T42,Tables!$B$21:$J$21,0)),"—"))</f>
        <v/>
      </c>
      <c r="AT42" s="75" t="str">
        <f t="shared" si="15"/>
        <v/>
      </c>
      <c r="AU42" s="76" t="str">
        <f t="shared" si="16"/>
        <v/>
      </c>
      <c r="AV42" s="72" t="str">
        <f>IF($C42="","",IFERROR(IF($AU42="None required","—",$AB42&amp;" "&amp;INDEX(Tables!$B$31:$B$37,MATCH($AA42-0.001,Tables!$A$31:$A$37,1))),"—"))</f>
        <v/>
      </c>
      <c r="AW42" s="77" t="str">
        <f t="shared" si="17"/>
        <v/>
      </c>
    </row>
    <row r="43" spans="1:49" ht="18" customHeight="1" x14ac:dyDescent="0.35">
      <c r="A43" s="54"/>
      <c r="B43" s="55"/>
      <c r="C43" s="54"/>
      <c r="D43" s="54"/>
      <c r="E43" s="54"/>
      <c r="F43" s="54"/>
      <c r="G43" s="56"/>
      <c r="H43" s="57"/>
      <c r="I43" s="57"/>
      <c r="J43" s="58"/>
      <c r="K43" s="56"/>
      <c r="L43" s="56"/>
      <c r="M43" s="56"/>
      <c r="N43" s="56"/>
      <c r="O43" s="56"/>
      <c r="P43" s="56"/>
      <c r="Q43" s="59"/>
      <c r="R43" s="57"/>
      <c r="S43" s="57"/>
      <c r="T43" s="54"/>
      <c r="U43" s="60" t="str">
        <f>IF($C43="","",IFERROR(IF(INDEX(Substances!$C$2:$C$60,MATCH($C43,Substances!$A$2:$A$60,0))="","",INDEX(Substances!$C$2:$C$60,MATCH($C43,Substances!$A$2:$A$60,0))),"—"))</f>
        <v/>
      </c>
      <c r="V43" s="61" t="str">
        <f>IF($C43="","",IFERROR(IF(INDEX(Substances!$D$2:$D$60,MATCH($C43,Substances!$A$2:$A$60,0))="","",INDEX(Substances!$D$2:$D$60,MATCH($C43,Substances!$A$2:$A$60,0))),"—"))</f>
        <v/>
      </c>
      <c r="W43" s="60" t="str">
        <f>IF($C43="","",IFERROR(IF(INDEX(Substances!$F$2:$F$60,MATCH($C43,Substances!$A$2:$A$60,0))="","",INDEX(Substances!$F$2:$F$60,MATCH($C43,Substances!$A$2:$A$60,0))),"—"))</f>
        <v/>
      </c>
      <c r="X43" s="62" t="str">
        <f>IF($C43="","",IFERROR(IF(INDEX(Substances!$G$2:$G$60,MATCH($C43,Substances!$A$2:$A$60,0))="","",INDEX(Substances!$G$2:$G$60,MATCH($C43,Substances!$A$2:$A$60,0))),"—"))</f>
        <v/>
      </c>
      <c r="Y43" s="61" t="str">
        <f>IF($C43="","",IFERROR(IF(INDEX(Substances!$H$2:$H$60,MATCH($C43,Substances!$A$2:$A$60,0))="","",INDEX(Substances!$H$2:$H$60,MATCH($C43,Substances!$A$2:$A$60,0))),"—"))</f>
        <v/>
      </c>
      <c r="Z43" s="62" t="str">
        <f>IF($C43="","",IFERROR(IF(INDEX(Substances!$I$2:$I$60,MATCH($C43,Substances!$A$2:$A$60,0))="","",INDEX(Substances!$I$2:$I$60,MATCH($C43,Substances!$A$2:$A$60,0))),"—"))</f>
        <v/>
      </c>
      <c r="AA43" s="62" t="str">
        <f>IF($C43="","",IFERROR(IF(INDEX(Substances!$J$2:$J$60,MATCH($C43,Substances!$A$2:$A$60,0))="","",INDEX(Substances!$J$2:$J$60,MATCH($C43,Substances!$A$2:$A$60,0))),"—"))</f>
        <v/>
      </c>
      <c r="AB43" s="63" t="str">
        <f>IF($C43="","",IFERROR(IF(INDEX(Substances!$K$2:$K$60,MATCH($C43,Substances!$A$2:$A$60,0))="","",INDEX(Substances!$K$2:$K$60,MATCH($C43,Substances!$A$2:$A$60,0))),"—"))</f>
        <v/>
      </c>
      <c r="AC43" s="60" t="str">
        <f t="shared" si="9"/>
        <v/>
      </c>
      <c r="AD43" s="64" t="str">
        <f>IF($C43="","",IFERROR(N($G43)*100000+Tables!$B$4,"—"))</f>
        <v/>
      </c>
      <c r="AE43" s="65" t="str">
        <f t="shared" si="10"/>
        <v/>
      </c>
      <c r="AF43" s="65" t="str">
        <f t="shared" si="11"/>
        <v/>
      </c>
      <c r="AG43" s="64" t="str">
        <f>IF($C43="","",IFERROR(IF($D43="Gas/vapour jet",Tables!$B$4*(($W43+1)/2)^($W43/($W43-1)),"n/a"),"—"))</f>
        <v/>
      </c>
      <c r="AH43" s="66" t="str">
        <f t="shared" si="12"/>
        <v/>
      </c>
      <c r="AI43" s="67" t="str">
        <f>IF($C43="","",IFERROR(IF($D43="Gas/vapour jet","n/a",MIN(101.325,IF($P43&lt;&gt;"",$P43,IF(N(INDEX(Substances!$L$2:$L$60,MATCH($C43,Substances!$A$2:$A$60,0)))&lt;&gt;0,0.133322*10^(INDEX(Substances!$L$2:$L$60,MATCH($C43,Substances!$A$2:$A$60,0))-INDEX(Substances!$M$2:$M$60,MATCH($C43,Substances!$A$2:$A$60,0))/(INDEX(Substances!$N$2:$N$60,MATCH($C43,Substances!$A$2:$A$60,0))+$H43)),101.325*EXP(10.58*(1-($Y43+273.15)/$AE43)))))),"—"))</f>
        <v/>
      </c>
      <c r="AJ43" s="68" t="str">
        <f t="shared" si="13"/>
        <v/>
      </c>
      <c r="AK43" s="69" t="str">
        <f>IF($C43="","",IFERROR(IF($D43="Gas/vapour jet",IF($AH43="Choked",$K43*$J43*0.000001*$AD43*SQRT($W43*$U43/($L43*Tables!$B$5*$AE43)*(2/($W43+1))^(($W43+1)/($W43-1))),$K43*$J43*0.000001*$AD43*SQRT($U43/($L43*Tables!$B$5*$AE43)*(2*$W43/($W43-1))*(1-(Tables!$B$4/$AD43)^(($W43-1)/$W43))*(Tables!$B$4/$AD43)^(2/$W43))),IF($D43="Liquid jet",$AJ43*IF($M43&lt;&gt;"",$M43,IF($H43&gt;=$Y43,1,0)),6.55*$O43^0.78*$N43*$AI43*$U43^0.667/(Tables!$B$5*$AE43))),"—"))</f>
        <v/>
      </c>
      <c r="AL43" s="70" t="str">
        <f>IF($C43="","",IFERROR(Tables!$B$10*$U43*$V43,"—"))</f>
        <v/>
      </c>
      <c r="AM43" s="67" t="str">
        <f>IF($C43="","",IFERROR(INDEX(Tables!$B$15:$B$17,MATCH($E43,Tables!$A$15:$A$17,0)),"—"))</f>
        <v/>
      </c>
      <c r="AN43" s="68" t="str">
        <f>IF($C43="","",IFERROR($AK43/($AM43*$AL43)*$AF43/Tables!$B$9,"—"))</f>
        <v/>
      </c>
      <c r="AO43" s="70" t="str">
        <f>IF($C43="","",IFERROR(IF($F43="Outdoor",Tables!$B$8,$R43/3600),"—"))</f>
        <v/>
      </c>
      <c r="AP43" s="71" t="str">
        <f t="shared" si="14"/>
        <v/>
      </c>
      <c r="AQ43" s="72" t="str">
        <f>IF($C43="","",IFERROR(IF($AP43&lt;Tables!$B$7,"High",IF($F43="Outdoor","Medium",IF($AP43&lt;$Q43,"Medium","Low"))),"—"))</f>
        <v/>
      </c>
      <c r="AR43" s="73" t="str">
        <f>IF($C43="","",IFERROR(-$S43/$AO43*LN($V43*$AM43/Tables!$B$6)/60,"—"))</f>
        <v/>
      </c>
      <c r="AS43" s="74" t="str">
        <f>IF($C43="","",IFERROR(INDEX(Tables!$B$22:$J$24,MATCH($E43,Tables!$A$22:$A$24,0),MATCH($AQ43&amp;"-"&amp;$T43,Tables!$B$21:$J$21,0)),"—"))</f>
        <v/>
      </c>
      <c r="AT43" s="75" t="str">
        <f t="shared" si="15"/>
        <v/>
      </c>
      <c r="AU43" s="76" t="str">
        <f t="shared" si="16"/>
        <v/>
      </c>
      <c r="AV43" s="72" t="str">
        <f>IF($C43="","",IFERROR(IF($AU43="None required","—",$AB43&amp;" "&amp;INDEX(Tables!$B$31:$B$37,MATCH($AA43-0.001,Tables!$A$31:$A$37,1))),"—"))</f>
        <v/>
      </c>
      <c r="AW43" s="77" t="str">
        <f t="shared" si="17"/>
        <v/>
      </c>
    </row>
    <row r="44" spans="1:49" ht="18" customHeight="1" x14ac:dyDescent="0.35">
      <c r="A44" s="54"/>
      <c r="B44" s="55"/>
      <c r="C44" s="54"/>
      <c r="D44" s="54"/>
      <c r="E44" s="54"/>
      <c r="F44" s="54"/>
      <c r="G44" s="56"/>
      <c r="H44" s="57"/>
      <c r="I44" s="57"/>
      <c r="J44" s="58"/>
      <c r="K44" s="56"/>
      <c r="L44" s="56"/>
      <c r="M44" s="56"/>
      <c r="N44" s="56"/>
      <c r="O44" s="56"/>
      <c r="P44" s="56"/>
      <c r="Q44" s="59"/>
      <c r="R44" s="57"/>
      <c r="S44" s="57"/>
      <c r="T44" s="54"/>
      <c r="U44" s="60" t="str">
        <f>IF($C44="","",IFERROR(IF(INDEX(Substances!$C$2:$C$60,MATCH($C44,Substances!$A$2:$A$60,0))="","",INDEX(Substances!$C$2:$C$60,MATCH($C44,Substances!$A$2:$A$60,0))),"—"))</f>
        <v/>
      </c>
      <c r="V44" s="61" t="str">
        <f>IF($C44="","",IFERROR(IF(INDEX(Substances!$D$2:$D$60,MATCH($C44,Substances!$A$2:$A$60,0))="","",INDEX(Substances!$D$2:$D$60,MATCH($C44,Substances!$A$2:$A$60,0))),"—"))</f>
        <v/>
      </c>
      <c r="W44" s="60" t="str">
        <f>IF($C44="","",IFERROR(IF(INDEX(Substances!$F$2:$F$60,MATCH($C44,Substances!$A$2:$A$60,0))="","",INDEX(Substances!$F$2:$F$60,MATCH($C44,Substances!$A$2:$A$60,0))),"—"))</f>
        <v/>
      </c>
      <c r="X44" s="62" t="str">
        <f>IF($C44="","",IFERROR(IF(INDEX(Substances!$G$2:$G$60,MATCH($C44,Substances!$A$2:$A$60,0))="","",INDEX(Substances!$G$2:$G$60,MATCH($C44,Substances!$A$2:$A$60,0))),"—"))</f>
        <v/>
      </c>
      <c r="Y44" s="61" t="str">
        <f>IF($C44="","",IFERROR(IF(INDEX(Substances!$H$2:$H$60,MATCH($C44,Substances!$A$2:$A$60,0))="","",INDEX(Substances!$H$2:$H$60,MATCH($C44,Substances!$A$2:$A$60,0))),"—"))</f>
        <v/>
      </c>
      <c r="Z44" s="62" t="str">
        <f>IF($C44="","",IFERROR(IF(INDEX(Substances!$I$2:$I$60,MATCH($C44,Substances!$A$2:$A$60,0))="","",INDEX(Substances!$I$2:$I$60,MATCH($C44,Substances!$A$2:$A$60,0))),"—"))</f>
        <v/>
      </c>
      <c r="AA44" s="62" t="str">
        <f>IF($C44="","",IFERROR(IF(INDEX(Substances!$J$2:$J$60,MATCH($C44,Substances!$A$2:$A$60,0))="","",INDEX(Substances!$J$2:$J$60,MATCH($C44,Substances!$A$2:$A$60,0))),"—"))</f>
        <v/>
      </c>
      <c r="AB44" s="63" t="str">
        <f>IF($C44="","",IFERROR(IF(INDEX(Substances!$K$2:$K$60,MATCH($C44,Substances!$A$2:$A$60,0))="","",INDEX(Substances!$K$2:$K$60,MATCH($C44,Substances!$A$2:$A$60,0))),"—"))</f>
        <v/>
      </c>
      <c r="AC44" s="60" t="str">
        <f t="shared" si="9"/>
        <v/>
      </c>
      <c r="AD44" s="64" t="str">
        <f>IF($C44="","",IFERROR(N($G44)*100000+Tables!$B$4,"—"))</f>
        <v/>
      </c>
      <c r="AE44" s="65" t="str">
        <f t="shared" si="10"/>
        <v/>
      </c>
      <c r="AF44" s="65" t="str">
        <f t="shared" si="11"/>
        <v/>
      </c>
      <c r="AG44" s="64" t="str">
        <f>IF($C44="","",IFERROR(IF($D44="Gas/vapour jet",Tables!$B$4*(($W44+1)/2)^($W44/($W44-1)),"n/a"),"—"))</f>
        <v/>
      </c>
      <c r="AH44" s="66" t="str">
        <f t="shared" si="12"/>
        <v/>
      </c>
      <c r="AI44" s="67" t="str">
        <f>IF($C44="","",IFERROR(IF($D44="Gas/vapour jet","n/a",MIN(101.325,IF($P44&lt;&gt;"",$P44,IF(N(INDEX(Substances!$L$2:$L$60,MATCH($C44,Substances!$A$2:$A$60,0)))&lt;&gt;0,0.133322*10^(INDEX(Substances!$L$2:$L$60,MATCH($C44,Substances!$A$2:$A$60,0))-INDEX(Substances!$M$2:$M$60,MATCH($C44,Substances!$A$2:$A$60,0))/(INDEX(Substances!$N$2:$N$60,MATCH($C44,Substances!$A$2:$A$60,0))+$H44)),101.325*EXP(10.58*(1-($Y44+273.15)/$AE44)))))),"—"))</f>
        <v/>
      </c>
      <c r="AJ44" s="68" t="str">
        <f t="shared" si="13"/>
        <v/>
      </c>
      <c r="AK44" s="69" t="str">
        <f>IF($C44="","",IFERROR(IF($D44="Gas/vapour jet",IF($AH44="Choked",$K44*$J44*0.000001*$AD44*SQRT($W44*$U44/($L44*Tables!$B$5*$AE44)*(2/($W44+1))^(($W44+1)/($W44-1))),$K44*$J44*0.000001*$AD44*SQRT($U44/($L44*Tables!$B$5*$AE44)*(2*$W44/($W44-1))*(1-(Tables!$B$4/$AD44)^(($W44-1)/$W44))*(Tables!$B$4/$AD44)^(2/$W44))),IF($D44="Liquid jet",$AJ44*IF($M44&lt;&gt;"",$M44,IF($H44&gt;=$Y44,1,0)),6.55*$O44^0.78*$N44*$AI44*$U44^0.667/(Tables!$B$5*$AE44))),"—"))</f>
        <v/>
      </c>
      <c r="AL44" s="70" t="str">
        <f>IF($C44="","",IFERROR(Tables!$B$10*$U44*$V44,"—"))</f>
        <v/>
      </c>
      <c r="AM44" s="67" t="str">
        <f>IF($C44="","",IFERROR(INDEX(Tables!$B$15:$B$17,MATCH($E44,Tables!$A$15:$A$17,0)),"—"))</f>
        <v/>
      </c>
      <c r="AN44" s="68" t="str">
        <f>IF($C44="","",IFERROR($AK44/($AM44*$AL44)*$AF44/Tables!$B$9,"—"))</f>
        <v/>
      </c>
      <c r="AO44" s="70" t="str">
        <f>IF($C44="","",IFERROR(IF($F44="Outdoor",Tables!$B$8,$R44/3600),"—"))</f>
        <v/>
      </c>
      <c r="AP44" s="71" t="str">
        <f t="shared" si="14"/>
        <v/>
      </c>
      <c r="AQ44" s="72" t="str">
        <f>IF($C44="","",IFERROR(IF($AP44&lt;Tables!$B$7,"High",IF($F44="Outdoor","Medium",IF($AP44&lt;$Q44,"Medium","Low"))),"—"))</f>
        <v/>
      </c>
      <c r="AR44" s="73" t="str">
        <f>IF($C44="","",IFERROR(-$S44/$AO44*LN($V44*$AM44/Tables!$B$6)/60,"—"))</f>
        <v/>
      </c>
      <c r="AS44" s="74" t="str">
        <f>IF($C44="","",IFERROR(INDEX(Tables!$B$22:$J$24,MATCH($E44,Tables!$A$22:$A$24,0),MATCH($AQ44&amp;"-"&amp;$T44,Tables!$B$21:$J$21,0)),"—"))</f>
        <v/>
      </c>
      <c r="AT44" s="75" t="str">
        <f t="shared" si="15"/>
        <v/>
      </c>
      <c r="AU44" s="76" t="str">
        <f t="shared" si="16"/>
        <v/>
      </c>
      <c r="AV44" s="72" t="str">
        <f>IF($C44="","",IFERROR(IF($AU44="None required","—",$AB44&amp;" "&amp;INDEX(Tables!$B$31:$B$37,MATCH($AA44-0.001,Tables!$A$31:$A$37,1))),"—"))</f>
        <v/>
      </c>
      <c r="AW44" s="77" t="str">
        <f t="shared" si="17"/>
        <v/>
      </c>
    </row>
    <row r="45" spans="1:49" ht="18" customHeight="1" x14ac:dyDescent="0.35">
      <c r="A45" s="54"/>
      <c r="B45" s="55"/>
      <c r="C45" s="54"/>
      <c r="D45" s="54"/>
      <c r="E45" s="54"/>
      <c r="F45" s="54"/>
      <c r="G45" s="56"/>
      <c r="H45" s="57"/>
      <c r="I45" s="57"/>
      <c r="J45" s="58"/>
      <c r="K45" s="56"/>
      <c r="L45" s="56"/>
      <c r="M45" s="56"/>
      <c r="N45" s="56"/>
      <c r="O45" s="56"/>
      <c r="P45" s="56"/>
      <c r="Q45" s="59"/>
      <c r="R45" s="57"/>
      <c r="S45" s="57"/>
      <c r="T45" s="54"/>
      <c r="U45" s="60" t="str">
        <f>IF($C45="","",IFERROR(IF(INDEX(Substances!$C$2:$C$60,MATCH($C45,Substances!$A$2:$A$60,0))="","",INDEX(Substances!$C$2:$C$60,MATCH($C45,Substances!$A$2:$A$60,0))),"—"))</f>
        <v/>
      </c>
      <c r="V45" s="61" t="str">
        <f>IF($C45="","",IFERROR(IF(INDEX(Substances!$D$2:$D$60,MATCH($C45,Substances!$A$2:$A$60,0))="","",INDEX(Substances!$D$2:$D$60,MATCH($C45,Substances!$A$2:$A$60,0))),"—"))</f>
        <v/>
      </c>
      <c r="W45" s="60" t="str">
        <f>IF($C45="","",IFERROR(IF(INDEX(Substances!$F$2:$F$60,MATCH($C45,Substances!$A$2:$A$60,0))="","",INDEX(Substances!$F$2:$F$60,MATCH($C45,Substances!$A$2:$A$60,0))),"—"))</f>
        <v/>
      </c>
      <c r="X45" s="62" t="str">
        <f>IF($C45="","",IFERROR(IF(INDEX(Substances!$G$2:$G$60,MATCH($C45,Substances!$A$2:$A$60,0))="","",INDEX(Substances!$G$2:$G$60,MATCH($C45,Substances!$A$2:$A$60,0))),"—"))</f>
        <v/>
      </c>
      <c r="Y45" s="61" t="str">
        <f>IF($C45="","",IFERROR(IF(INDEX(Substances!$H$2:$H$60,MATCH($C45,Substances!$A$2:$A$60,0))="","",INDEX(Substances!$H$2:$H$60,MATCH($C45,Substances!$A$2:$A$60,0))),"—"))</f>
        <v/>
      </c>
      <c r="Z45" s="62" t="str">
        <f>IF($C45="","",IFERROR(IF(INDEX(Substances!$I$2:$I$60,MATCH($C45,Substances!$A$2:$A$60,0))="","",INDEX(Substances!$I$2:$I$60,MATCH($C45,Substances!$A$2:$A$60,0))),"—"))</f>
        <v/>
      </c>
      <c r="AA45" s="62" t="str">
        <f>IF($C45="","",IFERROR(IF(INDEX(Substances!$J$2:$J$60,MATCH($C45,Substances!$A$2:$A$60,0))="","",INDEX(Substances!$J$2:$J$60,MATCH($C45,Substances!$A$2:$A$60,0))),"—"))</f>
        <v/>
      </c>
      <c r="AB45" s="63" t="str">
        <f>IF($C45="","",IFERROR(IF(INDEX(Substances!$K$2:$K$60,MATCH($C45,Substances!$A$2:$A$60,0))="","",INDEX(Substances!$K$2:$K$60,MATCH($C45,Substances!$A$2:$A$60,0))),"—"))</f>
        <v/>
      </c>
      <c r="AC45" s="60" t="str">
        <f t="shared" si="9"/>
        <v/>
      </c>
      <c r="AD45" s="64" t="str">
        <f>IF($C45="","",IFERROR(N($G45)*100000+Tables!$B$4,"—"))</f>
        <v/>
      </c>
      <c r="AE45" s="65" t="str">
        <f t="shared" si="10"/>
        <v/>
      </c>
      <c r="AF45" s="65" t="str">
        <f t="shared" si="11"/>
        <v/>
      </c>
      <c r="AG45" s="64" t="str">
        <f>IF($C45="","",IFERROR(IF($D45="Gas/vapour jet",Tables!$B$4*(($W45+1)/2)^($W45/($W45-1)),"n/a"),"—"))</f>
        <v/>
      </c>
      <c r="AH45" s="66" t="str">
        <f t="shared" si="12"/>
        <v/>
      </c>
      <c r="AI45" s="67" t="str">
        <f>IF($C45="","",IFERROR(IF($D45="Gas/vapour jet","n/a",MIN(101.325,IF($P45&lt;&gt;"",$P45,IF(N(INDEX(Substances!$L$2:$L$60,MATCH($C45,Substances!$A$2:$A$60,0)))&lt;&gt;0,0.133322*10^(INDEX(Substances!$L$2:$L$60,MATCH($C45,Substances!$A$2:$A$60,0))-INDEX(Substances!$M$2:$M$60,MATCH($C45,Substances!$A$2:$A$60,0))/(INDEX(Substances!$N$2:$N$60,MATCH($C45,Substances!$A$2:$A$60,0))+$H45)),101.325*EXP(10.58*(1-($Y45+273.15)/$AE45)))))),"—"))</f>
        <v/>
      </c>
      <c r="AJ45" s="68" t="str">
        <f t="shared" si="13"/>
        <v/>
      </c>
      <c r="AK45" s="69" t="str">
        <f>IF($C45="","",IFERROR(IF($D45="Gas/vapour jet",IF($AH45="Choked",$K45*$J45*0.000001*$AD45*SQRT($W45*$U45/($L45*Tables!$B$5*$AE45)*(2/($W45+1))^(($W45+1)/($W45-1))),$K45*$J45*0.000001*$AD45*SQRT($U45/($L45*Tables!$B$5*$AE45)*(2*$W45/($W45-1))*(1-(Tables!$B$4/$AD45)^(($W45-1)/$W45))*(Tables!$B$4/$AD45)^(2/$W45))),IF($D45="Liquid jet",$AJ45*IF($M45&lt;&gt;"",$M45,IF($H45&gt;=$Y45,1,0)),6.55*$O45^0.78*$N45*$AI45*$U45^0.667/(Tables!$B$5*$AE45))),"—"))</f>
        <v/>
      </c>
      <c r="AL45" s="70" t="str">
        <f>IF($C45="","",IFERROR(Tables!$B$10*$U45*$V45,"—"))</f>
        <v/>
      </c>
      <c r="AM45" s="67" t="str">
        <f>IF($C45="","",IFERROR(INDEX(Tables!$B$15:$B$17,MATCH($E45,Tables!$A$15:$A$17,0)),"—"))</f>
        <v/>
      </c>
      <c r="AN45" s="68" t="str">
        <f>IF($C45="","",IFERROR($AK45/($AM45*$AL45)*$AF45/Tables!$B$9,"—"))</f>
        <v/>
      </c>
      <c r="AO45" s="70" t="str">
        <f>IF($C45="","",IFERROR(IF($F45="Outdoor",Tables!$B$8,$R45/3600),"—"))</f>
        <v/>
      </c>
      <c r="AP45" s="71" t="str">
        <f t="shared" si="14"/>
        <v/>
      </c>
      <c r="AQ45" s="72" t="str">
        <f>IF($C45="","",IFERROR(IF($AP45&lt;Tables!$B$7,"High",IF($F45="Outdoor","Medium",IF($AP45&lt;$Q45,"Medium","Low"))),"—"))</f>
        <v/>
      </c>
      <c r="AR45" s="73" t="str">
        <f>IF($C45="","",IFERROR(-$S45/$AO45*LN($V45*$AM45/Tables!$B$6)/60,"—"))</f>
        <v/>
      </c>
      <c r="AS45" s="74" t="str">
        <f>IF($C45="","",IFERROR(INDEX(Tables!$B$22:$J$24,MATCH($E45,Tables!$A$22:$A$24,0),MATCH($AQ45&amp;"-"&amp;$T45,Tables!$B$21:$J$21,0)),"—"))</f>
        <v/>
      </c>
      <c r="AT45" s="75" t="str">
        <f t="shared" si="15"/>
        <v/>
      </c>
      <c r="AU45" s="76" t="str">
        <f t="shared" si="16"/>
        <v/>
      </c>
      <c r="AV45" s="72" t="str">
        <f>IF($C45="","",IFERROR(IF($AU45="None required","—",$AB45&amp;" "&amp;INDEX(Tables!$B$31:$B$37,MATCH($AA45-0.001,Tables!$A$31:$A$37,1))),"—"))</f>
        <v/>
      </c>
      <c r="AW45" s="77" t="str">
        <f t="shared" si="17"/>
        <v/>
      </c>
    </row>
    <row r="46" spans="1:49" ht="18" customHeight="1" x14ac:dyDescent="0.35">
      <c r="A46" s="54"/>
      <c r="B46" s="55"/>
      <c r="C46" s="54"/>
      <c r="D46" s="54"/>
      <c r="E46" s="54"/>
      <c r="F46" s="54"/>
      <c r="G46" s="56"/>
      <c r="H46" s="57"/>
      <c r="I46" s="57"/>
      <c r="J46" s="58"/>
      <c r="K46" s="56"/>
      <c r="L46" s="56"/>
      <c r="M46" s="56"/>
      <c r="N46" s="56"/>
      <c r="O46" s="56"/>
      <c r="P46" s="56"/>
      <c r="Q46" s="59"/>
      <c r="R46" s="57"/>
      <c r="S46" s="57"/>
      <c r="T46" s="54"/>
      <c r="U46" s="60" t="str">
        <f>IF($C46="","",IFERROR(IF(INDEX(Substances!$C$2:$C$60,MATCH($C46,Substances!$A$2:$A$60,0))="","",INDEX(Substances!$C$2:$C$60,MATCH($C46,Substances!$A$2:$A$60,0))),"—"))</f>
        <v/>
      </c>
      <c r="V46" s="61" t="str">
        <f>IF($C46="","",IFERROR(IF(INDEX(Substances!$D$2:$D$60,MATCH($C46,Substances!$A$2:$A$60,0))="","",INDEX(Substances!$D$2:$D$60,MATCH($C46,Substances!$A$2:$A$60,0))),"—"))</f>
        <v/>
      </c>
      <c r="W46" s="60" t="str">
        <f>IF($C46="","",IFERROR(IF(INDEX(Substances!$F$2:$F$60,MATCH($C46,Substances!$A$2:$A$60,0))="","",INDEX(Substances!$F$2:$F$60,MATCH($C46,Substances!$A$2:$A$60,0))),"—"))</f>
        <v/>
      </c>
      <c r="X46" s="62" t="str">
        <f>IF($C46="","",IFERROR(IF(INDEX(Substances!$G$2:$G$60,MATCH($C46,Substances!$A$2:$A$60,0))="","",INDEX(Substances!$G$2:$G$60,MATCH($C46,Substances!$A$2:$A$60,0))),"—"))</f>
        <v/>
      </c>
      <c r="Y46" s="61" t="str">
        <f>IF($C46="","",IFERROR(IF(INDEX(Substances!$H$2:$H$60,MATCH($C46,Substances!$A$2:$A$60,0))="","",INDEX(Substances!$H$2:$H$60,MATCH($C46,Substances!$A$2:$A$60,0))),"—"))</f>
        <v/>
      </c>
      <c r="Z46" s="62" t="str">
        <f>IF($C46="","",IFERROR(IF(INDEX(Substances!$I$2:$I$60,MATCH($C46,Substances!$A$2:$A$60,0))="","",INDEX(Substances!$I$2:$I$60,MATCH($C46,Substances!$A$2:$A$60,0))),"—"))</f>
        <v/>
      </c>
      <c r="AA46" s="62" t="str">
        <f>IF($C46="","",IFERROR(IF(INDEX(Substances!$J$2:$J$60,MATCH($C46,Substances!$A$2:$A$60,0))="","",INDEX(Substances!$J$2:$J$60,MATCH($C46,Substances!$A$2:$A$60,0))),"—"))</f>
        <v/>
      </c>
      <c r="AB46" s="63" t="str">
        <f>IF($C46="","",IFERROR(IF(INDEX(Substances!$K$2:$K$60,MATCH($C46,Substances!$A$2:$A$60,0))="","",INDEX(Substances!$K$2:$K$60,MATCH($C46,Substances!$A$2:$A$60,0))),"—"))</f>
        <v/>
      </c>
      <c r="AC46" s="60" t="str">
        <f t="shared" si="9"/>
        <v/>
      </c>
      <c r="AD46" s="64" t="str">
        <f>IF($C46="","",IFERROR(N($G46)*100000+Tables!$B$4,"—"))</f>
        <v/>
      </c>
      <c r="AE46" s="65" t="str">
        <f t="shared" si="10"/>
        <v/>
      </c>
      <c r="AF46" s="65" t="str">
        <f t="shared" si="11"/>
        <v/>
      </c>
      <c r="AG46" s="64" t="str">
        <f>IF($C46="","",IFERROR(IF($D46="Gas/vapour jet",Tables!$B$4*(($W46+1)/2)^($W46/($W46-1)),"n/a"),"—"))</f>
        <v/>
      </c>
      <c r="AH46" s="66" t="str">
        <f t="shared" si="12"/>
        <v/>
      </c>
      <c r="AI46" s="67" t="str">
        <f>IF($C46="","",IFERROR(IF($D46="Gas/vapour jet","n/a",MIN(101.325,IF($P46&lt;&gt;"",$P46,IF(N(INDEX(Substances!$L$2:$L$60,MATCH($C46,Substances!$A$2:$A$60,0)))&lt;&gt;0,0.133322*10^(INDEX(Substances!$L$2:$L$60,MATCH($C46,Substances!$A$2:$A$60,0))-INDEX(Substances!$M$2:$M$60,MATCH($C46,Substances!$A$2:$A$60,0))/(INDEX(Substances!$N$2:$N$60,MATCH($C46,Substances!$A$2:$A$60,0))+$H46)),101.325*EXP(10.58*(1-($Y46+273.15)/$AE46)))))),"—"))</f>
        <v/>
      </c>
      <c r="AJ46" s="68" t="str">
        <f t="shared" si="13"/>
        <v/>
      </c>
      <c r="AK46" s="69" t="str">
        <f>IF($C46="","",IFERROR(IF($D46="Gas/vapour jet",IF($AH46="Choked",$K46*$J46*0.000001*$AD46*SQRT($W46*$U46/($L46*Tables!$B$5*$AE46)*(2/($W46+1))^(($W46+1)/($W46-1))),$K46*$J46*0.000001*$AD46*SQRT($U46/($L46*Tables!$B$5*$AE46)*(2*$W46/($W46-1))*(1-(Tables!$B$4/$AD46)^(($W46-1)/$W46))*(Tables!$B$4/$AD46)^(2/$W46))),IF($D46="Liquid jet",$AJ46*IF($M46&lt;&gt;"",$M46,IF($H46&gt;=$Y46,1,0)),6.55*$O46^0.78*$N46*$AI46*$U46^0.667/(Tables!$B$5*$AE46))),"—"))</f>
        <v/>
      </c>
      <c r="AL46" s="70" t="str">
        <f>IF($C46="","",IFERROR(Tables!$B$10*$U46*$V46,"—"))</f>
        <v/>
      </c>
      <c r="AM46" s="67" t="str">
        <f>IF($C46="","",IFERROR(INDEX(Tables!$B$15:$B$17,MATCH($E46,Tables!$A$15:$A$17,0)),"—"))</f>
        <v/>
      </c>
      <c r="AN46" s="68" t="str">
        <f>IF($C46="","",IFERROR($AK46/($AM46*$AL46)*$AF46/Tables!$B$9,"—"))</f>
        <v/>
      </c>
      <c r="AO46" s="70" t="str">
        <f>IF($C46="","",IFERROR(IF($F46="Outdoor",Tables!$B$8,$R46/3600),"—"))</f>
        <v/>
      </c>
      <c r="AP46" s="71" t="str">
        <f t="shared" si="14"/>
        <v/>
      </c>
      <c r="AQ46" s="72" t="str">
        <f>IF($C46="","",IFERROR(IF($AP46&lt;Tables!$B$7,"High",IF($F46="Outdoor","Medium",IF($AP46&lt;$Q46,"Medium","Low"))),"—"))</f>
        <v/>
      </c>
      <c r="AR46" s="73" t="str">
        <f>IF($C46="","",IFERROR(-$S46/$AO46*LN($V46*$AM46/Tables!$B$6)/60,"—"))</f>
        <v/>
      </c>
      <c r="AS46" s="74" t="str">
        <f>IF($C46="","",IFERROR(INDEX(Tables!$B$22:$J$24,MATCH($E46,Tables!$A$22:$A$24,0),MATCH($AQ46&amp;"-"&amp;$T46,Tables!$B$21:$J$21,0)),"—"))</f>
        <v/>
      </c>
      <c r="AT46" s="75" t="str">
        <f t="shared" si="15"/>
        <v/>
      </c>
      <c r="AU46" s="76" t="str">
        <f t="shared" si="16"/>
        <v/>
      </c>
      <c r="AV46" s="72" t="str">
        <f>IF($C46="","",IFERROR(IF($AU46="None required","—",$AB46&amp;" "&amp;INDEX(Tables!$B$31:$B$37,MATCH($AA46-0.001,Tables!$A$31:$A$37,1))),"—"))</f>
        <v/>
      </c>
      <c r="AW46" s="77" t="str">
        <f t="shared" si="17"/>
        <v/>
      </c>
    </row>
    <row r="47" spans="1:49" ht="18" customHeight="1" x14ac:dyDescent="0.35">
      <c r="A47" s="54"/>
      <c r="B47" s="55"/>
      <c r="C47" s="54"/>
      <c r="D47" s="54"/>
      <c r="E47" s="54"/>
      <c r="F47" s="54"/>
      <c r="G47" s="56"/>
      <c r="H47" s="57"/>
      <c r="I47" s="57"/>
      <c r="J47" s="58"/>
      <c r="K47" s="56"/>
      <c r="L47" s="56"/>
      <c r="M47" s="56"/>
      <c r="N47" s="56"/>
      <c r="O47" s="56"/>
      <c r="P47" s="56"/>
      <c r="Q47" s="59"/>
      <c r="R47" s="57"/>
      <c r="S47" s="57"/>
      <c r="T47" s="54"/>
      <c r="U47" s="60" t="str">
        <f>IF($C47="","",IFERROR(IF(INDEX(Substances!$C$2:$C$60,MATCH($C47,Substances!$A$2:$A$60,0))="","",INDEX(Substances!$C$2:$C$60,MATCH($C47,Substances!$A$2:$A$60,0))),"—"))</f>
        <v/>
      </c>
      <c r="V47" s="61" t="str">
        <f>IF($C47="","",IFERROR(IF(INDEX(Substances!$D$2:$D$60,MATCH($C47,Substances!$A$2:$A$60,0))="","",INDEX(Substances!$D$2:$D$60,MATCH($C47,Substances!$A$2:$A$60,0))),"—"))</f>
        <v/>
      </c>
      <c r="W47" s="60" t="str">
        <f>IF($C47="","",IFERROR(IF(INDEX(Substances!$F$2:$F$60,MATCH($C47,Substances!$A$2:$A$60,0))="","",INDEX(Substances!$F$2:$F$60,MATCH($C47,Substances!$A$2:$A$60,0))),"—"))</f>
        <v/>
      </c>
      <c r="X47" s="62" t="str">
        <f>IF($C47="","",IFERROR(IF(INDEX(Substances!$G$2:$G$60,MATCH($C47,Substances!$A$2:$A$60,0))="","",INDEX(Substances!$G$2:$G$60,MATCH($C47,Substances!$A$2:$A$60,0))),"—"))</f>
        <v/>
      </c>
      <c r="Y47" s="61" t="str">
        <f>IF($C47="","",IFERROR(IF(INDEX(Substances!$H$2:$H$60,MATCH($C47,Substances!$A$2:$A$60,0))="","",INDEX(Substances!$H$2:$H$60,MATCH($C47,Substances!$A$2:$A$60,0))),"—"))</f>
        <v/>
      </c>
      <c r="Z47" s="62" t="str">
        <f>IF($C47="","",IFERROR(IF(INDEX(Substances!$I$2:$I$60,MATCH($C47,Substances!$A$2:$A$60,0))="","",INDEX(Substances!$I$2:$I$60,MATCH($C47,Substances!$A$2:$A$60,0))),"—"))</f>
        <v/>
      </c>
      <c r="AA47" s="62" t="str">
        <f>IF($C47="","",IFERROR(IF(INDEX(Substances!$J$2:$J$60,MATCH($C47,Substances!$A$2:$A$60,0))="","",INDEX(Substances!$J$2:$J$60,MATCH($C47,Substances!$A$2:$A$60,0))),"—"))</f>
        <v/>
      </c>
      <c r="AB47" s="63" t="str">
        <f>IF($C47="","",IFERROR(IF(INDEX(Substances!$K$2:$K$60,MATCH($C47,Substances!$A$2:$A$60,0))="","",INDEX(Substances!$K$2:$K$60,MATCH($C47,Substances!$A$2:$A$60,0))),"—"))</f>
        <v/>
      </c>
      <c r="AC47" s="60" t="str">
        <f t="shared" si="9"/>
        <v/>
      </c>
      <c r="AD47" s="64" t="str">
        <f>IF($C47="","",IFERROR(N($G47)*100000+Tables!$B$4,"—"))</f>
        <v/>
      </c>
      <c r="AE47" s="65" t="str">
        <f t="shared" si="10"/>
        <v/>
      </c>
      <c r="AF47" s="65" t="str">
        <f t="shared" si="11"/>
        <v/>
      </c>
      <c r="AG47" s="64" t="str">
        <f>IF($C47="","",IFERROR(IF($D47="Gas/vapour jet",Tables!$B$4*(($W47+1)/2)^($W47/($W47-1)),"n/a"),"—"))</f>
        <v/>
      </c>
      <c r="AH47" s="66" t="str">
        <f t="shared" si="12"/>
        <v/>
      </c>
      <c r="AI47" s="67" t="str">
        <f>IF($C47="","",IFERROR(IF($D47="Gas/vapour jet","n/a",MIN(101.325,IF($P47&lt;&gt;"",$P47,IF(N(INDEX(Substances!$L$2:$L$60,MATCH($C47,Substances!$A$2:$A$60,0)))&lt;&gt;0,0.133322*10^(INDEX(Substances!$L$2:$L$60,MATCH($C47,Substances!$A$2:$A$60,0))-INDEX(Substances!$M$2:$M$60,MATCH($C47,Substances!$A$2:$A$60,0))/(INDEX(Substances!$N$2:$N$60,MATCH($C47,Substances!$A$2:$A$60,0))+$H47)),101.325*EXP(10.58*(1-($Y47+273.15)/$AE47)))))),"—"))</f>
        <v/>
      </c>
      <c r="AJ47" s="68" t="str">
        <f t="shared" si="13"/>
        <v/>
      </c>
      <c r="AK47" s="69" t="str">
        <f>IF($C47="","",IFERROR(IF($D47="Gas/vapour jet",IF($AH47="Choked",$K47*$J47*0.000001*$AD47*SQRT($W47*$U47/($L47*Tables!$B$5*$AE47)*(2/($W47+1))^(($W47+1)/($W47-1))),$K47*$J47*0.000001*$AD47*SQRT($U47/($L47*Tables!$B$5*$AE47)*(2*$W47/($W47-1))*(1-(Tables!$B$4/$AD47)^(($W47-1)/$W47))*(Tables!$B$4/$AD47)^(2/$W47))),IF($D47="Liquid jet",$AJ47*IF($M47&lt;&gt;"",$M47,IF($H47&gt;=$Y47,1,0)),6.55*$O47^0.78*$N47*$AI47*$U47^0.667/(Tables!$B$5*$AE47))),"—"))</f>
        <v/>
      </c>
      <c r="AL47" s="70" t="str">
        <f>IF($C47="","",IFERROR(Tables!$B$10*$U47*$V47,"—"))</f>
        <v/>
      </c>
      <c r="AM47" s="67" t="str">
        <f>IF($C47="","",IFERROR(INDEX(Tables!$B$15:$B$17,MATCH($E47,Tables!$A$15:$A$17,0)),"—"))</f>
        <v/>
      </c>
      <c r="AN47" s="68" t="str">
        <f>IF($C47="","",IFERROR($AK47/($AM47*$AL47)*$AF47/Tables!$B$9,"—"))</f>
        <v/>
      </c>
      <c r="AO47" s="70" t="str">
        <f>IF($C47="","",IFERROR(IF($F47="Outdoor",Tables!$B$8,$R47/3600),"—"))</f>
        <v/>
      </c>
      <c r="AP47" s="71" t="str">
        <f t="shared" si="14"/>
        <v/>
      </c>
      <c r="AQ47" s="72" t="str">
        <f>IF($C47="","",IFERROR(IF($AP47&lt;Tables!$B$7,"High",IF($F47="Outdoor","Medium",IF($AP47&lt;$Q47,"Medium","Low"))),"—"))</f>
        <v/>
      </c>
      <c r="AR47" s="73" t="str">
        <f>IF($C47="","",IFERROR(-$S47/$AO47*LN($V47*$AM47/Tables!$B$6)/60,"—"))</f>
        <v/>
      </c>
      <c r="AS47" s="74" t="str">
        <f>IF($C47="","",IFERROR(INDEX(Tables!$B$22:$J$24,MATCH($E47,Tables!$A$22:$A$24,0),MATCH($AQ47&amp;"-"&amp;$T47,Tables!$B$21:$J$21,0)),"—"))</f>
        <v/>
      </c>
      <c r="AT47" s="75" t="str">
        <f t="shared" si="15"/>
        <v/>
      </c>
      <c r="AU47" s="76" t="str">
        <f t="shared" si="16"/>
        <v/>
      </c>
      <c r="AV47" s="72" t="str">
        <f>IF($C47="","",IFERROR(IF($AU47="None required","—",$AB47&amp;" "&amp;INDEX(Tables!$B$31:$B$37,MATCH($AA47-0.001,Tables!$A$31:$A$37,1))),"—"))</f>
        <v/>
      </c>
      <c r="AW47" s="77" t="str">
        <f t="shared" si="17"/>
        <v/>
      </c>
    </row>
    <row r="48" spans="1:49" ht="18" customHeight="1" x14ac:dyDescent="0.35">
      <c r="A48" s="54"/>
      <c r="B48" s="55"/>
      <c r="C48" s="54"/>
      <c r="D48" s="54"/>
      <c r="E48" s="54"/>
      <c r="F48" s="54"/>
      <c r="G48" s="56"/>
      <c r="H48" s="57"/>
      <c r="I48" s="57"/>
      <c r="J48" s="58"/>
      <c r="K48" s="56"/>
      <c r="L48" s="56"/>
      <c r="M48" s="56"/>
      <c r="N48" s="56"/>
      <c r="O48" s="56"/>
      <c r="P48" s="56"/>
      <c r="Q48" s="59"/>
      <c r="R48" s="57"/>
      <c r="S48" s="57"/>
      <c r="T48" s="54"/>
      <c r="U48" s="60" t="str">
        <f>IF($C48="","",IFERROR(IF(INDEX(Substances!$C$2:$C$60,MATCH($C48,Substances!$A$2:$A$60,0))="","",INDEX(Substances!$C$2:$C$60,MATCH($C48,Substances!$A$2:$A$60,0))),"—"))</f>
        <v/>
      </c>
      <c r="V48" s="61" t="str">
        <f>IF($C48="","",IFERROR(IF(INDEX(Substances!$D$2:$D$60,MATCH($C48,Substances!$A$2:$A$60,0))="","",INDEX(Substances!$D$2:$D$60,MATCH($C48,Substances!$A$2:$A$60,0))),"—"))</f>
        <v/>
      </c>
      <c r="W48" s="60" t="str">
        <f>IF($C48="","",IFERROR(IF(INDEX(Substances!$F$2:$F$60,MATCH($C48,Substances!$A$2:$A$60,0))="","",INDEX(Substances!$F$2:$F$60,MATCH($C48,Substances!$A$2:$A$60,0))),"—"))</f>
        <v/>
      </c>
      <c r="X48" s="62" t="str">
        <f>IF($C48="","",IFERROR(IF(INDEX(Substances!$G$2:$G$60,MATCH($C48,Substances!$A$2:$A$60,0))="","",INDEX(Substances!$G$2:$G$60,MATCH($C48,Substances!$A$2:$A$60,0))),"—"))</f>
        <v/>
      </c>
      <c r="Y48" s="61" t="str">
        <f>IF($C48="","",IFERROR(IF(INDEX(Substances!$H$2:$H$60,MATCH($C48,Substances!$A$2:$A$60,0))="","",INDEX(Substances!$H$2:$H$60,MATCH($C48,Substances!$A$2:$A$60,0))),"—"))</f>
        <v/>
      </c>
      <c r="Z48" s="62" t="str">
        <f>IF($C48="","",IFERROR(IF(INDEX(Substances!$I$2:$I$60,MATCH($C48,Substances!$A$2:$A$60,0))="","",INDEX(Substances!$I$2:$I$60,MATCH($C48,Substances!$A$2:$A$60,0))),"—"))</f>
        <v/>
      </c>
      <c r="AA48" s="62" t="str">
        <f>IF($C48="","",IFERROR(IF(INDEX(Substances!$J$2:$J$60,MATCH($C48,Substances!$A$2:$A$60,0))="","",INDEX(Substances!$J$2:$J$60,MATCH($C48,Substances!$A$2:$A$60,0))),"—"))</f>
        <v/>
      </c>
      <c r="AB48" s="63" t="str">
        <f>IF($C48="","",IFERROR(IF(INDEX(Substances!$K$2:$K$60,MATCH($C48,Substances!$A$2:$A$60,0))="","",INDEX(Substances!$K$2:$K$60,MATCH($C48,Substances!$A$2:$A$60,0))),"—"))</f>
        <v/>
      </c>
      <c r="AC48" s="60" t="str">
        <f t="shared" si="9"/>
        <v/>
      </c>
      <c r="AD48" s="64" t="str">
        <f>IF($C48="","",IFERROR(N($G48)*100000+Tables!$B$4,"—"))</f>
        <v/>
      </c>
      <c r="AE48" s="65" t="str">
        <f t="shared" si="10"/>
        <v/>
      </c>
      <c r="AF48" s="65" t="str">
        <f t="shared" si="11"/>
        <v/>
      </c>
      <c r="AG48" s="64" t="str">
        <f>IF($C48="","",IFERROR(IF($D48="Gas/vapour jet",Tables!$B$4*(($W48+1)/2)^($W48/($W48-1)),"n/a"),"—"))</f>
        <v/>
      </c>
      <c r="AH48" s="66" t="str">
        <f t="shared" si="12"/>
        <v/>
      </c>
      <c r="AI48" s="67" t="str">
        <f>IF($C48="","",IFERROR(IF($D48="Gas/vapour jet","n/a",MIN(101.325,IF($P48&lt;&gt;"",$P48,IF(N(INDEX(Substances!$L$2:$L$60,MATCH($C48,Substances!$A$2:$A$60,0)))&lt;&gt;0,0.133322*10^(INDEX(Substances!$L$2:$L$60,MATCH($C48,Substances!$A$2:$A$60,0))-INDEX(Substances!$M$2:$M$60,MATCH($C48,Substances!$A$2:$A$60,0))/(INDEX(Substances!$N$2:$N$60,MATCH($C48,Substances!$A$2:$A$60,0))+$H48)),101.325*EXP(10.58*(1-($Y48+273.15)/$AE48)))))),"—"))</f>
        <v/>
      </c>
      <c r="AJ48" s="68" t="str">
        <f t="shared" si="13"/>
        <v/>
      </c>
      <c r="AK48" s="69" t="str">
        <f>IF($C48="","",IFERROR(IF($D48="Gas/vapour jet",IF($AH48="Choked",$K48*$J48*0.000001*$AD48*SQRT($W48*$U48/($L48*Tables!$B$5*$AE48)*(2/($W48+1))^(($W48+1)/($W48-1))),$K48*$J48*0.000001*$AD48*SQRT($U48/($L48*Tables!$B$5*$AE48)*(2*$W48/($W48-1))*(1-(Tables!$B$4/$AD48)^(($W48-1)/$W48))*(Tables!$B$4/$AD48)^(2/$W48))),IF($D48="Liquid jet",$AJ48*IF($M48&lt;&gt;"",$M48,IF($H48&gt;=$Y48,1,0)),6.55*$O48^0.78*$N48*$AI48*$U48^0.667/(Tables!$B$5*$AE48))),"—"))</f>
        <v/>
      </c>
      <c r="AL48" s="70" t="str">
        <f>IF($C48="","",IFERROR(Tables!$B$10*$U48*$V48,"—"))</f>
        <v/>
      </c>
      <c r="AM48" s="67" t="str">
        <f>IF($C48="","",IFERROR(INDEX(Tables!$B$15:$B$17,MATCH($E48,Tables!$A$15:$A$17,0)),"—"))</f>
        <v/>
      </c>
      <c r="AN48" s="68" t="str">
        <f>IF($C48="","",IFERROR($AK48/($AM48*$AL48)*$AF48/Tables!$B$9,"—"))</f>
        <v/>
      </c>
      <c r="AO48" s="70" t="str">
        <f>IF($C48="","",IFERROR(IF($F48="Outdoor",Tables!$B$8,$R48/3600),"—"))</f>
        <v/>
      </c>
      <c r="AP48" s="71" t="str">
        <f t="shared" si="14"/>
        <v/>
      </c>
      <c r="AQ48" s="72" t="str">
        <f>IF($C48="","",IFERROR(IF($AP48&lt;Tables!$B$7,"High",IF($F48="Outdoor","Medium",IF($AP48&lt;$Q48,"Medium","Low"))),"—"))</f>
        <v/>
      </c>
      <c r="AR48" s="73" t="str">
        <f>IF($C48="","",IFERROR(-$S48/$AO48*LN($V48*$AM48/Tables!$B$6)/60,"—"))</f>
        <v/>
      </c>
      <c r="AS48" s="74" t="str">
        <f>IF($C48="","",IFERROR(INDEX(Tables!$B$22:$J$24,MATCH($E48,Tables!$A$22:$A$24,0),MATCH($AQ48&amp;"-"&amp;$T48,Tables!$B$21:$J$21,0)),"—"))</f>
        <v/>
      </c>
      <c r="AT48" s="75" t="str">
        <f t="shared" si="15"/>
        <v/>
      </c>
      <c r="AU48" s="76" t="str">
        <f t="shared" si="16"/>
        <v/>
      </c>
      <c r="AV48" s="72" t="str">
        <f>IF($C48="","",IFERROR(IF($AU48="None required","—",$AB48&amp;" "&amp;INDEX(Tables!$B$31:$B$37,MATCH($AA48-0.001,Tables!$A$31:$A$37,1))),"—"))</f>
        <v/>
      </c>
      <c r="AW48" s="77" t="str">
        <f t="shared" si="17"/>
        <v/>
      </c>
    </row>
    <row r="49" spans="1:49" ht="18" customHeight="1" x14ac:dyDescent="0.35">
      <c r="A49" s="54"/>
      <c r="B49" s="55"/>
      <c r="C49" s="54"/>
      <c r="D49" s="54"/>
      <c r="E49" s="54"/>
      <c r="F49" s="54"/>
      <c r="G49" s="56"/>
      <c r="H49" s="57"/>
      <c r="I49" s="57"/>
      <c r="J49" s="58"/>
      <c r="K49" s="56"/>
      <c r="L49" s="56"/>
      <c r="M49" s="56"/>
      <c r="N49" s="56"/>
      <c r="O49" s="56"/>
      <c r="P49" s="56"/>
      <c r="Q49" s="59"/>
      <c r="R49" s="57"/>
      <c r="S49" s="57"/>
      <c r="T49" s="54"/>
      <c r="U49" s="60" t="str">
        <f>IF($C49="","",IFERROR(IF(INDEX(Substances!$C$2:$C$60,MATCH($C49,Substances!$A$2:$A$60,0))="","",INDEX(Substances!$C$2:$C$60,MATCH($C49,Substances!$A$2:$A$60,0))),"—"))</f>
        <v/>
      </c>
      <c r="V49" s="61" t="str">
        <f>IF($C49="","",IFERROR(IF(INDEX(Substances!$D$2:$D$60,MATCH($C49,Substances!$A$2:$A$60,0))="","",INDEX(Substances!$D$2:$D$60,MATCH($C49,Substances!$A$2:$A$60,0))),"—"))</f>
        <v/>
      </c>
      <c r="W49" s="60" t="str">
        <f>IF($C49="","",IFERROR(IF(INDEX(Substances!$F$2:$F$60,MATCH($C49,Substances!$A$2:$A$60,0))="","",INDEX(Substances!$F$2:$F$60,MATCH($C49,Substances!$A$2:$A$60,0))),"—"))</f>
        <v/>
      </c>
      <c r="X49" s="62" t="str">
        <f>IF($C49="","",IFERROR(IF(INDEX(Substances!$G$2:$G$60,MATCH($C49,Substances!$A$2:$A$60,0))="","",INDEX(Substances!$G$2:$G$60,MATCH($C49,Substances!$A$2:$A$60,0))),"—"))</f>
        <v/>
      </c>
      <c r="Y49" s="61" t="str">
        <f>IF($C49="","",IFERROR(IF(INDEX(Substances!$H$2:$H$60,MATCH($C49,Substances!$A$2:$A$60,0))="","",INDEX(Substances!$H$2:$H$60,MATCH($C49,Substances!$A$2:$A$60,0))),"—"))</f>
        <v/>
      </c>
      <c r="Z49" s="62" t="str">
        <f>IF($C49="","",IFERROR(IF(INDEX(Substances!$I$2:$I$60,MATCH($C49,Substances!$A$2:$A$60,0))="","",INDEX(Substances!$I$2:$I$60,MATCH($C49,Substances!$A$2:$A$60,0))),"—"))</f>
        <v/>
      </c>
      <c r="AA49" s="62" t="str">
        <f>IF($C49="","",IFERROR(IF(INDEX(Substances!$J$2:$J$60,MATCH($C49,Substances!$A$2:$A$60,0))="","",INDEX(Substances!$J$2:$J$60,MATCH($C49,Substances!$A$2:$A$60,0))),"—"))</f>
        <v/>
      </c>
      <c r="AB49" s="63" t="str">
        <f>IF($C49="","",IFERROR(IF(INDEX(Substances!$K$2:$K$60,MATCH($C49,Substances!$A$2:$A$60,0))="","",INDEX(Substances!$K$2:$K$60,MATCH($C49,Substances!$A$2:$A$60,0))),"—"))</f>
        <v/>
      </c>
      <c r="AC49" s="60" t="str">
        <f t="shared" si="9"/>
        <v/>
      </c>
      <c r="AD49" s="64" t="str">
        <f>IF($C49="","",IFERROR(N($G49)*100000+Tables!$B$4,"—"))</f>
        <v/>
      </c>
      <c r="AE49" s="65" t="str">
        <f t="shared" si="10"/>
        <v/>
      </c>
      <c r="AF49" s="65" t="str">
        <f t="shared" si="11"/>
        <v/>
      </c>
      <c r="AG49" s="64" t="str">
        <f>IF($C49="","",IFERROR(IF($D49="Gas/vapour jet",Tables!$B$4*(($W49+1)/2)^($W49/($W49-1)),"n/a"),"—"))</f>
        <v/>
      </c>
      <c r="AH49" s="66" t="str">
        <f t="shared" si="12"/>
        <v/>
      </c>
      <c r="AI49" s="67" t="str">
        <f>IF($C49="","",IFERROR(IF($D49="Gas/vapour jet","n/a",MIN(101.325,IF($P49&lt;&gt;"",$P49,IF(N(INDEX(Substances!$L$2:$L$60,MATCH($C49,Substances!$A$2:$A$60,0)))&lt;&gt;0,0.133322*10^(INDEX(Substances!$L$2:$L$60,MATCH($C49,Substances!$A$2:$A$60,0))-INDEX(Substances!$M$2:$M$60,MATCH($C49,Substances!$A$2:$A$60,0))/(INDEX(Substances!$N$2:$N$60,MATCH($C49,Substances!$A$2:$A$60,0))+$H49)),101.325*EXP(10.58*(1-($Y49+273.15)/$AE49)))))),"—"))</f>
        <v/>
      </c>
      <c r="AJ49" s="68" t="str">
        <f t="shared" si="13"/>
        <v/>
      </c>
      <c r="AK49" s="69" t="str">
        <f>IF($C49="","",IFERROR(IF($D49="Gas/vapour jet",IF($AH49="Choked",$K49*$J49*0.000001*$AD49*SQRT($W49*$U49/($L49*Tables!$B$5*$AE49)*(2/($W49+1))^(($W49+1)/($W49-1))),$K49*$J49*0.000001*$AD49*SQRT($U49/($L49*Tables!$B$5*$AE49)*(2*$W49/($W49-1))*(1-(Tables!$B$4/$AD49)^(($W49-1)/$W49))*(Tables!$B$4/$AD49)^(2/$W49))),IF($D49="Liquid jet",$AJ49*IF($M49&lt;&gt;"",$M49,IF($H49&gt;=$Y49,1,0)),6.55*$O49^0.78*$N49*$AI49*$U49^0.667/(Tables!$B$5*$AE49))),"—"))</f>
        <v/>
      </c>
      <c r="AL49" s="70" t="str">
        <f>IF($C49="","",IFERROR(Tables!$B$10*$U49*$V49,"—"))</f>
        <v/>
      </c>
      <c r="AM49" s="67" t="str">
        <f>IF($C49="","",IFERROR(INDEX(Tables!$B$15:$B$17,MATCH($E49,Tables!$A$15:$A$17,0)),"—"))</f>
        <v/>
      </c>
      <c r="AN49" s="68" t="str">
        <f>IF($C49="","",IFERROR($AK49/($AM49*$AL49)*$AF49/Tables!$B$9,"—"))</f>
        <v/>
      </c>
      <c r="AO49" s="70" t="str">
        <f>IF($C49="","",IFERROR(IF($F49="Outdoor",Tables!$B$8,$R49/3600),"—"))</f>
        <v/>
      </c>
      <c r="AP49" s="71" t="str">
        <f t="shared" si="14"/>
        <v/>
      </c>
      <c r="AQ49" s="72" t="str">
        <f>IF($C49="","",IFERROR(IF($AP49&lt;Tables!$B$7,"High",IF($F49="Outdoor","Medium",IF($AP49&lt;$Q49,"Medium","Low"))),"—"))</f>
        <v/>
      </c>
      <c r="AR49" s="73" t="str">
        <f>IF($C49="","",IFERROR(-$S49/$AO49*LN($V49*$AM49/Tables!$B$6)/60,"—"))</f>
        <v/>
      </c>
      <c r="AS49" s="74" t="str">
        <f>IF($C49="","",IFERROR(INDEX(Tables!$B$22:$J$24,MATCH($E49,Tables!$A$22:$A$24,0),MATCH($AQ49&amp;"-"&amp;$T49,Tables!$B$21:$J$21,0)),"—"))</f>
        <v/>
      </c>
      <c r="AT49" s="75" t="str">
        <f t="shared" si="15"/>
        <v/>
      </c>
      <c r="AU49" s="76" t="str">
        <f t="shared" si="16"/>
        <v/>
      </c>
      <c r="AV49" s="72" t="str">
        <f>IF($C49="","",IFERROR(IF($AU49="None required","—",$AB49&amp;" "&amp;INDEX(Tables!$B$31:$B$37,MATCH($AA49-0.001,Tables!$A$31:$A$37,1))),"—"))</f>
        <v/>
      </c>
      <c r="AW49" s="77" t="str">
        <f t="shared" si="17"/>
        <v/>
      </c>
    </row>
    <row r="50" spans="1:49" ht="18" customHeight="1" x14ac:dyDescent="0.35">
      <c r="A50" s="54"/>
      <c r="B50" s="55"/>
      <c r="C50" s="54"/>
      <c r="D50" s="54"/>
      <c r="E50" s="54"/>
      <c r="F50" s="54"/>
      <c r="G50" s="56"/>
      <c r="H50" s="57"/>
      <c r="I50" s="57"/>
      <c r="J50" s="58"/>
      <c r="K50" s="56"/>
      <c r="L50" s="56"/>
      <c r="M50" s="56"/>
      <c r="N50" s="56"/>
      <c r="O50" s="56"/>
      <c r="P50" s="56"/>
      <c r="Q50" s="59"/>
      <c r="R50" s="57"/>
      <c r="S50" s="57"/>
      <c r="T50" s="54"/>
      <c r="U50" s="60" t="str">
        <f>IF($C50="","",IFERROR(IF(INDEX(Substances!$C$2:$C$60,MATCH($C50,Substances!$A$2:$A$60,0))="","",INDEX(Substances!$C$2:$C$60,MATCH($C50,Substances!$A$2:$A$60,0))),"—"))</f>
        <v/>
      </c>
      <c r="V50" s="61" t="str">
        <f>IF($C50="","",IFERROR(IF(INDEX(Substances!$D$2:$D$60,MATCH($C50,Substances!$A$2:$A$60,0))="","",INDEX(Substances!$D$2:$D$60,MATCH($C50,Substances!$A$2:$A$60,0))),"—"))</f>
        <v/>
      </c>
      <c r="W50" s="60" t="str">
        <f>IF($C50="","",IFERROR(IF(INDEX(Substances!$F$2:$F$60,MATCH($C50,Substances!$A$2:$A$60,0))="","",INDEX(Substances!$F$2:$F$60,MATCH($C50,Substances!$A$2:$A$60,0))),"—"))</f>
        <v/>
      </c>
      <c r="X50" s="62" t="str">
        <f>IF($C50="","",IFERROR(IF(INDEX(Substances!$G$2:$G$60,MATCH($C50,Substances!$A$2:$A$60,0))="","",INDEX(Substances!$G$2:$G$60,MATCH($C50,Substances!$A$2:$A$60,0))),"—"))</f>
        <v/>
      </c>
      <c r="Y50" s="61" t="str">
        <f>IF($C50="","",IFERROR(IF(INDEX(Substances!$H$2:$H$60,MATCH($C50,Substances!$A$2:$A$60,0))="","",INDEX(Substances!$H$2:$H$60,MATCH($C50,Substances!$A$2:$A$60,0))),"—"))</f>
        <v/>
      </c>
      <c r="Z50" s="62" t="str">
        <f>IF($C50="","",IFERROR(IF(INDEX(Substances!$I$2:$I$60,MATCH($C50,Substances!$A$2:$A$60,0))="","",INDEX(Substances!$I$2:$I$60,MATCH($C50,Substances!$A$2:$A$60,0))),"—"))</f>
        <v/>
      </c>
      <c r="AA50" s="62" t="str">
        <f>IF($C50="","",IFERROR(IF(INDEX(Substances!$J$2:$J$60,MATCH($C50,Substances!$A$2:$A$60,0))="","",INDEX(Substances!$J$2:$J$60,MATCH($C50,Substances!$A$2:$A$60,0))),"—"))</f>
        <v/>
      </c>
      <c r="AB50" s="63" t="str">
        <f>IF($C50="","",IFERROR(IF(INDEX(Substances!$K$2:$K$60,MATCH($C50,Substances!$A$2:$A$60,0))="","",INDEX(Substances!$K$2:$K$60,MATCH($C50,Substances!$A$2:$A$60,0))),"—"))</f>
        <v/>
      </c>
      <c r="AC50" s="60" t="str">
        <f t="shared" si="9"/>
        <v/>
      </c>
      <c r="AD50" s="64" t="str">
        <f>IF($C50="","",IFERROR(N($G50)*100000+Tables!$B$4,"—"))</f>
        <v/>
      </c>
      <c r="AE50" s="65" t="str">
        <f t="shared" si="10"/>
        <v/>
      </c>
      <c r="AF50" s="65" t="str">
        <f t="shared" si="11"/>
        <v/>
      </c>
      <c r="AG50" s="64" t="str">
        <f>IF($C50="","",IFERROR(IF($D50="Gas/vapour jet",Tables!$B$4*(($W50+1)/2)^($W50/($W50-1)),"n/a"),"—"))</f>
        <v/>
      </c>
      <c r="AH50" s="66" t="str">
        <f t="shared" si="12"/>
        <v/>
      </c>
      <c r="AI50" s="67" t="str">
        <f>IF($C50="","",IFERROR(IF($D50="Gas/vapour jet","n/a",MIN(101.325,IF($P50&lt;&gt;"",$P50,IF(N(INDEX(Substances!$L$2:$L$60,MATCH($C50,Substances!$A$2:$A$60,0)))&lt;&gt;0,0.133322*10^(INDEX(Substances!$L$2:$L$60,MATCH($C50,Substances!$A$2:$A$60,0))-INDEX(Substances!$M$2:$M$60,MATCH($C50,Substances!$A$2:$A$60,0))/(INDEX(Substances!$N$2:$N$60,MATCH($C50,Substances!$A$2:$A$60,0))+$H50)),101.325*EXP(10.58*(1-($Y50+273.15)/$AE50)))))),"—"))</f>
        <v/>
      </c>
      <c r="AJ50" s="68" t="str">
        <f t="shared" si="13"/>
        <v/>
      </c>
      <c r="AK50" s="69" t="str">
        <f>IF($C50="","",IFERROR(IF($D50="Gas/vapour jet",IF($AH50="Choked",$K50*$J50*0.000001*$AD50*SQRT($W50*$U50/($L50*Tables!$B$5*$AE50)*(2/($W50+1))^(($W50+1)/($W50-1))),$K50*$J50*0.000001*$AD50*SQRT($U50/($L50*Tables!$B$5*$AE50)*(2*$W50/($W50-1))*(1-(Tables!$B$4/$AD50)^(($W50-1)/$W50))*(Tables!$B$4/$AD50)^(2/$W50))),IF($D50="Liquid jet",$AJ50*IF($M50&lt;&gt;"",$M50,IF($H50&gt;=$Y50,1,0)),6.55*$O50^0.78*$N50*$AI50*$U50^0.667/(Tables!$B$5*$AE50))),"—"))</f>
        <v/>
      </c>
      <c r="AL50" s="70" t="str">
        <f>IF($C50="","",IFERROR(Tables!$B$10*$U50*$V50,"—"))</f>
        <v/>
      </c>
      <c r="AM50" s="67" t="str">
        <f>IF($C50="","",IFERROR(INDEX(Tables!$B$15:$B$17,MATCH($E50,Tables!$A$15:$A$17,0)),"—"))</f>
        <v/>
      </c>
      <c r="AN50" s="68" t="str">
        <f>IF($C50="","",IFERROR($AK50/($AM50*$AL50)*$AF50/Tables!$B$9,"—"))</f>
        <v/>
      </c>
      <c r="AO50" s="70" t="str">
        <f>IF($C50="","",IFERROR(IF($F50="Outdoor",Tables!$B$8,$R50/3600),"—"))</f>
        <v/>
      </c>
      <c r="AP50" s="71" t="str">
        <f t="shared" si="14"/>
        <v/>
      </c>
      <c r="AQ50" s="72" t="str">
        <f>IF($C50="","",IFERROR(IF($AP50&lt;Tables!$B$7,"High",IF($F50="Outdoor","Medium",IF($AP50&lt;$Q50,"Medium","Low"))),"—"))</f>
        <v/>
      </c>
      <c r="AR50" s="73" t="str">
        <f>IF($C50="","",IFERROR(-$S50/$AO50*LN($V50*$AM50/Tables!$B$6)/60,"—"))</f>
        <v/>
      </c>
      <c r="AS50" s="74" t="str">
        <f>IF($C50="","",IFERROR(INDEX(Tables!$B$22:$J$24,MATCH($E50,Tables!$A$22:$A$24,0),MATCH($AQ50&amp;"-"&amp;$T50,Tables!$B$21:$J$21,0)),"—"))</f>
        <v/>
      </c>
      <c r="AT50" s="75" t="str">
        <f t="shared" si="15"/>
        <v/>
      </c>
      <c r="AU50" s="76" t="str">
        <f t="shared" si="16"/>
        <v/>
      </c>
      <c r="AV50" s="72" t="str">
        <f>IF($C50="","",IFERROR(IF($AU50="None required","—",$AB50&amp;" "&amp;INDEX(Tables!$B$31:$B$37,MATCH($AA50-0.001,Tables!$A$31:$A$37,1))),"—"))</f>
        <v/>
      </c>
      <c r="AW50" s="77" t="str">
        <f t="shared" si="17"/>
        <v/>
      </c>
    </row>
    <row r="51" spans="1:49" ht="18" customHeight="1" x14ac:dyDescent="0.35">
      <c r="A51" s="54"/>
      <c r="B51" s="55"/>
      <c r="C51" s="54"/>
      <c r="D51" s="54"/>
      <c r="E51" s="54"/>
      <c r="F51" s="54"/>
      <c r="G51" s="56"/>
      <c r="H51" s="57"/>
      <c r="I51" s="57"/>
      <c r="J51" s="58"/>
      <c r="K51" s="56"/>
      <c r="L51" s="56"/>
      <c r="M51" s="56"/>
      <c r="N51" s="56"/>
      <c r="O51" s="56"/>
      <c r="P51" s="56"/>
      <c r="Q51" s="59"/>
      <c r="R51" s="57"/>
      <c r="S51" s="57"/>
      <c r="T51" s="54"/>
      <c r="U51" s="60" t="str">
        <f>IF($C51="","",IFERROR(IF(INDEX(Substances!$C$2:$C$60,MATCH($C51,Substances!$A$2:$A$60,0))="","",INDEX(Substances!$C$2:$C$60,MATCH($C51,Substances!$A$2:$A$60,0))),"—"))</f>
        <v/>
      </c>
      <c r="V51" s="61" t="str">
        <f>IF($C51="","",IFERROR(IF(INDEX(Substances!$D$2:$D$60,MATCH($C51,Substances!$A$2:$A$60,0))="","",INDEX(Substances!$D$2:$D$60,MATCH($C51,Substances!$A$2:$A$60,0))),"—"))</f>
        <v/>
      </c>
      <c r="W51" s="60" t="str">
        <f>IF($C51="","",IFERROR(IF(INDEX(Substances!$F$2:$F$60,MATCH($C51,Substances!$A$2:$A$60,0))="","",INDEX(Substances!$F$2:$F$60,MATCH($C51,Substances!$A$2:$A$60,0))),"—"))</f>
        <v/>
      </c>
      <c r="X51" s="62" t="str">
        <f>IF($C51="","",IFERROR(IF(INDEX(Substances!$G$2:$G$60,MATCH($C51,Substances!$A$2:$A$60,0))="","",INDEX(Substances!$G$2:$G$60,MATCH($C51,Substances!$A$2:$A$60,0))),"—"))</f>
        <v/>
      </c>
      <c r="Y51" s="61" t="str">
        <f>IF($C51="","",IFERROR(IF(INDEX(Substances!$H$2:$H$60,MATCH($C51,Substances!$A$2:$A$60,0))="","",INDEX(Substances!$H$2:$H$60,MATCH($C51,Substances!$A$2:$A$60,0))),"—"))</f>
        <v/>
      </c>
      <c r="Z51" s="62" t="str">
        <f>IF($C51="","",IFERROR(IF(INDEX(Substances!$I$2:$I$60,MATCH($C51,Substances!$A$2:$A$60,0))="","",INDEX(Substances!$I$2:$I$60,MATCH($C51,Substances!$A$2:$A$60,0))),"—"))</f>
        <v/>
      </c>
      <c r="AA51" s="62" t="str">
        <f>IF($C51="","",IFERROR(IF(INDEX(Substances!$J$2:$J$60,MATCH($C51,Substances!$A$2:$A$60,0))="","",INDEX(Substances!$J$2:$J$60,MATCH($C51,Substances!$A$2:$A$60,0))),"—"))</f>
        <v/>
      </c>
      <c r="AB51" s="63" t="str">
        <f>IF($C51="","",IFERROR(IF(INDEX(Substances!$K$2:$K$60,MATCH($C51,Substances!$A$2:$A$60,0))="","",INDEX(Substances!$K$2:$K$60,MATCH($C51,Substances!$A$2:$A$60,0))),"—"))</f>
        <v/>
      </c>
      <c r="AC51" s="60" t="str">
        <f t="shared" si="9"/>
        <v/>
      </c>
      <c r="AD51" s="64" t="str">
        <f>IF($C51="","",IFERROR(N($G51)*100000+Tables!$B$4,"—"))</f>
        <v/>
      </c>
      <c r="AE51" s="65" t="str">
        <f t="shared" si="10"/>
        <v/>
      </c>
      <c r="AF51" s="65" t="str">
        <f t="shared" si="11"/>
        <v/>
      </c>
      <c r="AG51" s="64" t="str">
        <f>IF($C51="","",IFERROR(IF($D51="Gas/vapour jet",Tables!$B$4*(($W51+1)/2)^($W51/($W51-1)),"n/a"),"—"))</f>
        <v/>
      </c>
      <c r="AH51" s="66" t="str">
        <f t="shared" si="12"/>
        <v/>
      </c>
      <c r="AI51" s="67" t="str">
        <f>IF($C51="","",IFERROR(IF($D51="Gas/vapour jet","n/a",MIN(101.325,IF($P51&lt;&gt;"",$P51,IF(N(INDEX(Substances!$L$2:$L$60,MATCH($C51,Substances!$A$2:$A$60,0)))&lt;&gt;0,0.133322*10^(INDEX(Substances!$L$2:$L$60,MATCH($C51,Substances!$A$2:$A$60,0))-INDEX(Substances!$M$2:$M$60,MATCH($C51,Substances!$A$2:$A$60,0))/(INDEX(Substances!$N$2:$N$60,MATCH($C51,Substances!$A$2:$A$60,0))+$H51)),101.325*EXP(10.58*(1-($Y51+273.15)/$AE51)))))),"—"))</f>
        <v/>
      </c>
      <c r="AJ51" s="68" t="str">
        <f t="shared" si="13"/>
        <v/>
      </c>
      <c r="AK51" s="69" t="str">
        <f>IF($C51="","",IFERROR(IF($D51="Gas/vapour jet",IF($AH51="Choked",$K51*$J51*0.000001*$AD51*SQRT($W51*$U51/($L51*Tables!$B$5*$AE51)*(2/($W51+1))^(($W51+1)/($W51-1))),$K51*$J51*0.000001*$AD51*SQRT($U51/($L51*Tables!$B$5*$AE51)*(2*$W51/($W51-1))*(1-(Tables!$B$4/$AD51)^(($W51-1)/$W51))*(Tables!$B$4/$AD51)^(2/$W51))),IF($D51="Liquid jet",$AJ51*IF($M51&lt;&gt;"",$M51,IF($H51&gt;=$Y51,1,0)),6.55*$O51^0.78*$N51*$AI51*$U51^0.667/(Tables!$B$5*$AE51))),"—"))</f>
        <v/>
      </c>
      <c r="AL51" s="70" t="str">
        <f>IF($C51="","",IFERROR(Tables!$B$10*$U51*$V51,"—"))</f>
        <v/>
      </c>
      <c r="AM51" s="67" t="str">
        <f>IF($C51="","",IFERROR(INDEX(Tables!$B$15:$B$17,MATCH($E51,Tables!$A$15:$A$17,0)),"—"))</f>
        <v/>
      </c>
      <c r="AN51" s="68" t="str">
        <f>IF($C51="","",IFERROR($AK51/($AM51*$AL51)*$AF51/Tables!$B$9,"—"))</f>
        <v/>
      </c>
      <c r="AO51" s="70" t="str">
        <f>IF($C51="","",IFERROR(IF($F51="Outdoor",Tables!$B$8,$R51/3600),"—"))</f>
        <v/>
      </c>
      <c r="AP51" s="71" t="str">
        <f t="shared" si="14"/>
        <v/>
      </c>
      <c r="AQ51" s="72" t="str">
        <f>IF($C51="","",IFERROR(IF($AP51&lt;Tables!$B$7,"High",IF($F51="Outdoor","Medium",IF($AP51&lt;$Q51,"Medium","Low"))),"—"))</f>
        <v/>
      </c>
      <c r="AR51" s="73" t="str">
        <f>IF($C51="","",IFERROR(-$S51/$AO51*LN($V51*$AM51/Tables!$B$6)/60,"—"))</f>
        <v/>
      </c>
      <c r="AS51" s="74" t="str">
        <f>IF($C51="","",IFERROR(INDEX(Tables!$B$22:$J$24,MATCH($E51,Tables!$A$22:$A$24,0),MATCH($AQ51&amp;"-"&amp;$T51,Tables!$B$21:$J$21,0)),"—"))</f>
        <v/>
      </c>
      <c r="AT51" s="75" t="str">
        <f t="shared" si="15"/>
        <v/>
      </c>
      <c r="AU51" s="76" t="str">
        <f t="shared" si="16"/>
        <v/>
      </c>
      <c r="AV51" s="72" t="str">
        <f>IF($C51="","",IFERROR(IF($AU51="None required","—",$AB51&amp;" "&amp;INDEX(Tables!$B$31:$B$37,MATCH($AA51-0.001,Tables!$A$31:$A$37,1))),"—"))</f>
        <v/>
      </c>
      <c r="AW51" s="77" t="str">
        <f t="shared" si="17"/>
        <v/>
      </c>
    </row>
    <row r="52" spans="1:49" ht="18" customHeight="1" x14ac:dyDescent="0.35">
      <c r="A52" s="54"/>
      <c r="B52" s="55"/>
      <c r="C52" s="54"/>
      <c r="D52" s="54"/>
      <c r="E52" s="54"/>
      <c r="F52" s="54"/>
      <c r="G52" s="56"/>
      <c r="H52" s="57"/>
      <c r="I52" s="57"/>
      <c r="J52" s="58"/>
      <c r="K52" s="56"/>
      <c r="L52" s="56"/>
      <c r="M52" s="56"/>
      <c r="N52" s="56"/>
      <c r="O52" s="56"/>
      <c r="P52" s="56"/>
      <c r="Q52" s="59"/>
      <c r="R52" s="57"/>
      <c r="S52" s="57"/>
      <c r="T52" s="54"/>
      <c r="U52" s="60" t="str">
        <f>IF($C52="","",IFERROR(IF(INDEX(Substances!$C$2:$C$60,MATCH($C52,Substances!$A$2:$A$60,0))="","",INDEX(Substances!$C$2:$C$60,MATCH($C52,Substances!$A$2:$A$60,0))),"—"))</f>
        <v/>
      </c>
      <c r="V52" s="61" t="str">
        <f>IF($C52="","",IFERROR(IF(INDEX(Substances!$D$2:$D$60,MATCH($C52,Substances!$A$2:$A$60,0))="","",INDEX(Substances!$D$2:$D$60,MATCH($C52,Substances!$A$2:$A$60,0))),"—"))</f>
        <v/>
      </c>
      <c r="W52" s="60" t="str">
        <f>IF($C52="","",IFERROR(IF(INDEX(Substances!$F$2:$F$60,MATCH($C52,Substances!$A$2:$A$60,0))="","",INDEX(Substances!$F$2:$F$60,MATCH($C52,Substances!$A$2:$A$60,0))),"—"))</f>
        <v/>
      </c>
      <c r="X52" s="62" t="str">
        <f>IF($C52="","",IFERROR(IF(INDEX(Substances!$G$2:$G$60,MATCH($C52,Substances!$A$2:$A$60,0))="","",INDEX(Substances!$G$2:$G$60,MATCH($C52,Substances!$A$2:$A$60,0))),"—"))</f>
        <v/>
      </c>
      <c r="Y52" s="61" t="str">
        <f>IF($C52="","",IFERROR(IF(INDEX(Substances!$H$2:$H$60,MATCH($C52,Substances!$A$2:$A$60,0))="","",INDEX(Substances!$H$2:$H$60,MATCH($C52,Substances!$A$2:$A$60,0))),"—"))</f>
        <v/>
      </c>
      <c r="Z52" s="62" t="str">
        <f>IF($C52="","",IFERROR(IF(INDEX(Substances!$I$2:$I$60,MATCH($C52,Substances!$A$2:$A$60,0))="","",INDEX(Substances!$I$2:$I$60,MATCH($C52,Substances!$A$2:$A$60,0))),"—"))</f>
        <v/>
      </c>
      <c r="AA52" s="62" t="str">
        <f>IF($C52="","",IFERROR(IF(INDEX(Substances!$J$2:$J$60,MATCH($C52,Substances!$A$2:$A$60,0))="","",INDEX(Substances!$J$2:$J$60,MATCH($C52,Substances!$A$2:$A$60,0))),"—"))</f>
        <v/>
      </c>
      <c r="AB52" s="63" t="str">
        <f>IF($C52="","",IFERROR(IF(INDEX(Substances!$K$2:$K$60,MATCH($C52,Substances!$A$2:$A$60,0))="","",INDEX(Substances!$K$2:$K$60,MATCH($C52,Substances!$A$2:$A$60,0))),"—"))</f>
        <v/>
      </c>
      <c r="AC52" s="60" t="str">
        <f t="shared" si="9"/>
        <v/>
      </c>
      <c r="AD52" s="64" t="str">
        <f>IF($C52="","",IFERROR(N($G52)*100000+Tables!$B$4,"—"))</f>
        <v/>
      </c>
      <c r="AE52" s="65" t="str">
        <f t="shared" si="10"/>
        <v/>
      </c>
      <c r="AF52" s="65" t="str">
        <f t="shared" si="11"/>
        <v/>
      </c>
      <c r="AG52" s="64" t="str">
        <f>IF($C52="","",IFERROR(IF($D52="Gas/vapour jet",Tables!$B$4*(($W52+1)/2)^($W52/($W52-1)),"n/a"),"—"))</f>
        <v/>
      </c>
      <c r="AH52" s="66" t="str">
        <f t="shared" si="12"/>
        <v/>
      </c>
      <c r="AI52" s="67" t="str">
        <f>IF($C52="","",IFERROR(IF($D52="Gas/vapour jet","n/a",MIN(101.325,IF($P52&lt;&gt;"",$P52,IF(N(INDEX(Substances!$L$2:$L$60,MATCH($C52,Substances!$A$2:$A$60,0)))&lt;&gt;0,0.133322*10^(INDEX(Substances!$L$2:$L$60,MATCH($C52,Substances!$A$2:$A$60,0))-INDEX(Substances!$M$2:$M$60,MATCH($C52,Substances!$A$2:$A$60,0))/(INDEX(Substances!$N$2:$N$60,MATCH($C52,Substances!$A$2:$A$60,0))+$H52)),101.325*EXP(10.58*(1-($Y52+273.15)/$AE52)))))),"—"))</f>
        <v/>
      </c>
      <c r="AJ52" s="68" t="str">
        <f t="shared" si="13"/>
        <v/>
      </c>
      <c r="AK52" s="69" t="str">
        <f>IF($C52="","",IFERROR(IF($D52="Gas/vapour jet",IF($AH52="Choked",$K52*$J52*0.000001*$AD52*SQRT($W52*$U52/($L52*Tables!$B$5*$AE52)*(2/($W52+1))^(($W52+1)/($W52-1))),$K52*$J52*0.000001*$AD52*SQRT($U52/($L52*Tables!$B$5*$AE52)*(2*$W52/($W52-1))*(1-(Tables!$B$4/$AD52)^(($W52-1)/$W52))*(Tables!$B$4/$AD52)^(2/$W52))),IF($D52="Liquid jet",$AJ52*IF($M52&lt;&gt;"",$M52,IF($H52&gt;=$Y52,1,0)),6.55*$O52^0.78*$N52*$AI52*$U52^0.667/(Tables!$B$5*$AE52))),"—"))</f>
        <v/>
      </c>
      <c r="AL52" s="70" t="str">
        <f>IF($C52="","",IFERROR(Tables!$B$10*$U52*$V52,"—"))</f>
        <v/>
      </c>
      <c r="AM52" s="67" t="str">
        <f>IF($C52="","",IFERROR(INDEX(Tables!$B$15:$B$17,MATCH($E52,Tables!$A$15:$A$17,0)),"—"))</f>
        <v/>
      </c>
      <c r="AN52" s="68" t="str">
        <f>IF($C52="","",IFERROR($AK52/($AM52*$AL52)*$AF52/Tables!$B$9,"—"))</f>
        <v/>
      </c>
      <c r="AO52" s="70" t="str">
        <f>IF($C52="","",IFERROR(IF($F52="Outdoor",Tables!$B$8,$R52/3600),"—"))</f>
        <v/>
      </c>
      <c r="AP52" s="71" t="str">
        <f t="shared" si="14"/>
        <v/>
      </c>
      <c r="AQ52" s="72" t="str">
        <f>IF($C52="","",IFERROR(IF($AP52&lt;Tables!$B$7,"High",IF($F52="Outdoor","Medium",IF($AP52&lt;$Q52,"Medium","Low"))),"—"))</f>
        <v/>
      </c>
      <c r="AR52" s="73" t="str">
        <f>IF($C52="","",IFERROR(-$S52/$AO52*LN($V52*$AM52/Tables!$B$6)/60,"—"))</f>
        <v/>
      </c>
      <c r="AS52" s="74" t="str">
        <f>IF($C52="","",IFERROR(INDEX(Tables!$B$22:$J$24,MATCH($E52,Tables!$A$22:$A$24,0),MATCH($AQ52&amp;"-"&amp;$T52,Tables!$B$21:$J$21,0)),"—"))</f>
        <v/>
      </c>
      <c r="AT52" s="75" t="str">
        <f t="shared" si="15"/>
        <v/>
      </c>
      <c r="AU52" s="76" t="str">
        <f t="shared" si="16"/>
        <v/>
      </c>
      <c r="AV52" s="72" t="str">
        <f>IF($C52="","",IFERROR(IF($AU52="None required","—",$AB52&amp;" "&amp;INDEX(Tables!$B$31:$B$37,MATCH($AA52-0.001,Tables!$A$31:$A$37,1))),"—"))</f>
        <v/>
      </c>
      <c r="AW52" s="77" t="str">
        <f t="shared" si="17"/>
        <v/>
      </c>
    </row>
    <row r="53" spans="1:49" ht="18" customHeight="1" x14ac:dyDescent="0.35">
      <c r="A53" s="54"/>
      <c r="B53" s="55"/>
      <c r="C53" s="54"/>
      <c r="D53" s="54"/>
      <c r="E53" s="54"/>
      <c r="F53" s="54"/>
      <c r="G53" s="56"/>
      <c r="H53" s="57"/>
      <c r="I53" s="57"/>
      <c r="J53" s="58"/>
      <c r="K53" s="56"/>
      <c r="L53" s="56"/>
      <c r="M53" s="56"/>
      <c r="N53" s="56"/>
      <c r="O53" s="56"/>
      <c r="P53" s="56"/>
      <c r="Q53" s="59"/>
      <c r="R53" s="57"/>
      <c r="S53" s="57"/>
      <c r="T53" s="54"/>
      <c r="U53" s="60" t="str">
        <f>IF($C53="","",IFERROR(IF(INDEX(Substances!$C$2:$C$60,MATCH($C53,Substances!$A$2:$A$60,0))="","",INDEX(Substances!$C$2:$C$60,MATCH($C53,Substances!$A$2:$A$60,0))),"—"))</f>
        <v/>
      </c>
      <c r="V53" s="61" t="str">
        <f>IF($C53="","",IFERROR(IF(INDEX(Substances!$D$2:$D$60,MATCH($C53,Substances!$A$2:$A$60,0))="","",INDEX(Substances!$D$2:$D$60,MATCH($C53,Substances!$A$2:$A$60,0))),"—"))</f>
        <v/>
      </c>
      <c r="W53" s="60" t="str">
        <f>IF($C53="","",IFERROR(IF(INDEX(Substances!$F$2:$F$60,MATCH($C53,Substances!$A$2:$A$60,0))="","",INDEX(Substances!$F$2:$F$60,MATCH($C53,Substances!$A$2:$A$60,0))),"—"))</f>
        <v/>
      </c>
      <c r="X53" s="62" t="str">
        <f>IF($C53="","",IFERROR(IF(INDEX(Substances!$G$2:$G$60,MATCH($C53,Substances!$A$2:$A$60,0))="","",INDEX(Substances!$G$2:$G$60,MATCH($C53,Substances!$A$2:$A$60,0))),"—"))</f>
        <v/>
      </c>
      <c r="Y53" s="61" t="str">
        <f>IF($C53="","",IFERROR(IF(INDEX(Substances!$H$2:$H$60,MATCH($C53,Substances!$A$2:$A$60,0))="","",INDEX(Substances!$H$2:$H$60,MATCH($C53,Substances!$A$2:$A$60,0))),"—"))</f>
        <v/>
      </c>
      <c r="Z53" s="62" t="str">
        <f>IF($C53="","",IFERROR(IF(INDEX(Substances!$I$2:$I$60,MATCH($C53,Substances!$A$2:$A$60,0))="","",INDEX(Substances!$I$2:$I$60,MATCH($C53,Substances!$A$2:$A$60,0))),"—"))</f>
        <v/>
      </c>
      <c r="AA53" s="62" t="str">
        <f>IF($C53="","",IFERROR(IF(INDEX(Substances!$J$2:$J$60,MATCH($C53,Substances!$A$2:$A$60,0))="","",INDEX(Substances!$J$2:$J$60,MATCH($C53,Substances!$A$2:$A$60,0))),"—"))</f>
        <v/>
      </c>
      <c r="AB53" s="63" t="str">
        <f>IF($C53="","",IFERROR(IF(INDEX(Substances!$K$2:$K$60,MATCH($C53,Substances!$A$2:$A$60,0))="","",INDEX(Substances!$K$2:$K$60,MATCH($C53,Substances!$A$2:$A$60,0))),"—"))</f>
        <v/>
      </c>
      <c r="AC53" s="60" t="str">
        <f t="shared" si="9"/>
        <v/>
      </c>
      <c r="AD53" s="64" t="str">
        <f>IF($C53="","",IFERROR(N($G53)*100000+Tables!$B$4,"—"))</f>
        <v/>
      </c>
      <c r="AE53" s="65" t="str">
        <f t="shared" si="10"/>
        <v/>
      </c>
      <c r="AF53" s="65" t="str">
        <f t="shared" si="11"/>
        <v/>
      </c>
      <c r="AG53" s="64" t="str">
        <f>IF($C53="","",IFERROR(IF($D53="Gas/vapour jet",Tables!$B$4*(($W53+1)/2)^($W53/($W53-1)),"n/a"),"—"))</f>
        <v/>
      </c>
      <c r="AH53" s="66" t="str">
        <f t="shared" si="12"/>
        <v/>
      </c>
      <c r="AI53" s="67" t="str">
        <f>IF($C53="","",IFERROR(IF($D53="Gas/vapour jet","n/a",MIN(101.325,IF($P53&lt;&gt;"",$P53,IF(N(INDEX(Substances!$L$2:$L$60,MATCH($C53,Substances!$A$2:$A$60,0)))&lt;&gt;0,0.133322*10^(INDEX(Substances!$L$2:$L$60,MATCH($C53,Substances!$A$2:$A$60,0))-INDEX(Substances!$M$2:$M$60,MATCH($C53,Substances!$A$2:$A$60,0))/(INDEX(Substances!$N$2:$N$60,MATCH($C53,Substances!$A$2:$A$60,0))+$H53)),101.325*EXP(10.58*(1-($Y53+273.15)/$AE53)))))),"—"))</f>
        <v/>
      </c>
      <c r="AJ53" s="68" t="str">
        <f t="shared" si="13"/>
        <v/>
      </c>
      <c r="AK53" s="69" t="str">
        <f>IF($C53="","",IFERROR(IF($D53="Gas/vapour jet",IF($AH53="Choked",$K53*$J53*0.000001*$AD53*SQRT($W53*$U53/($L53*Tables!$B$5*$AE53)*(2/($W53+1))^(($W53+1)/($W53-1))),$K53*$J53*0.000001*$AD53*SQRT($U53/($L53*Tables!$B$5*$AE53)*(2*$W53/($W53-1))*(1-(Tables!$B$4/$AD53)^(($W53-1)/$W53))*(Tables!$B$4/$AD53)^(2/$W53))),IF($D53="Liquid jet",$AJ53*IF($M53&lt;&gt;"",$M53,IF($H53&gt;=$Y53,1,0)),6.55*$O53^0.78*$N53*$AI53*$U53^0.667/(Tables!$B$5*$AE53))),"—"))</f>
        <v/>
      </c>
      <c r="AL53" s="70" t="str">
        <f>IF($C53="","",IFERROR(Tables!$B$10*$U53*$V53,"—"))</f>
        <v/>
      </c>
      <c r="AM53" s="67" t="str">
        <f>IF($C53="","",IFERROR(INDEX(Tables!$B$15:$B$17,MATCH($E53,Tables!$A$15:$A$17,0)),"—"))</f>
        <v/>
      </c>
      <c r="AN53" s="68" t="str">
        <f>IF($C53="","",IFERROR($AK53/($AM53*$AL53)*$AF53/Tables!$B$9,"—"))</f>
        <v/>
      </c>
      <c r="AO53" s="70" t="str">
        <f>IF($C53="","",IFERROR(IF($F53="Outdoor",Tables!$B$8,$R53/3600),"—"))</f>
        <v/>
      </c>
      <c r="AP53" s="71" t="str">
        <f t="shared" si="14"/>
        <v/>
      </c>
      <c r="AQ53" s="72" t="str">
        <f>IF($C53="","",IFERROR(IF($AP53&lt;Tables!$B$7,"High",IF($F53="Outdoor","Medium",IF($AP53&lt;$Q53,"Medium","Low"))),"—"))</f>
        <v/>
      </c>
      <c r="AR53" s="73" t="str">
        <f>IF($C53="","",IFERROR(-$S53/$AO53*LN($V53*$AM53/Tables!$B$6)/60,"—"))</f>
        <v/>
      </c>
      <c r="AS53" s="74" t="str">
        <f>IF($C53="","",IFERROR(INDEX(Tables!$B$22:$J$24,MATCH($E53,Tables!$A$22:$A$24,0),MATCH($AQ53&amp;"-"&amp;$T53,Tables!$B$21:$J$21,0)),"—"))</f>
        <v/>
      </c>
      <c r="AT53" s="75" t="str">
        <f t="shared" si="15"/>
        <v/>
      </c>
      <c r="AU53" s="76" t="str">
        <f t="shared" si="16"/>
        <v/>
      </c>
      <c r="AV53" s="72" t="str">
        <f>IF($C53="","",IFERROR(IF($AU53="None required","—",$AB53&amp;" "&amp;INDEX(Tables!$B$31:$B$37,MATCH($AA53-0.001,Tables!$A$31:$A$37,1))),"—"))</f>
        <v/>
      </c>
      <c r="AW53" s="77" t="str">
        <f t="shared" si="17"/>
        <v/>
      </c>
    </row>
    <row r="54" spans="1:49" ht="18" customHeight="1" x14ac:dyDescent="0.35">
      <c r="A54" s="54"/>
      <c r="B54" s="55"/>
      <c r="C54" s="54"/>
      <c r="D54" s="54"/>
      <c r="E54" s="54"/>
      <c r="F54" s="54"/>
      <c r="G54" s="56"/>
      <c r="H54" s="57"/>
      <c r="I54" s="57"/>
      <c r="J54" s="58"/>
      <c r="K54" s="56"/>
      <c r="L54" s="56"/>
      <c r="M54" s="56"/>
      <c r="N54" s="56"/>
      <c r="O54" s="56"/>
      <c r="P54" s="56"/>
      <c r="Q54" s="59"/>
      <c r="R54" s="57"/>
      <c r="S54" s="57"/>
      <c r="T54" s="54"/>
      <c r="U54" s="60" t="str">
        <f>IF($C54="","",IFERROR(IF(INDEX(Substances!$C$2:$C$60,MATCH($C54,Substances!$A$2:$A$60,0))="","",INDEX(Substances!$C$2:$C$60,MATCH($C54,Substances!$A$2:$A$60,0))),"—"))</f>
        <v/>
      </c>
      <c r="V54" s="61" t="str">
        <f>IF($C54="","",IFERROR(IF(INDEX(Substances!$D$2:$D$60,MATCH($C54,Substances!$A$2:$A$60,0))="","",INDEX(Substances!$D$2:$D$60,MATCH($C54,Substances!$A$2:$A$60,0))),"—"))</f>
        <v/>
      </c>
      <c r="W54" s="60" t="str">
        <f>IF($C54="","",IFERROR(IF(INDEX(Substances!$F$2:$F$60,MATCH($C54,Substances!$A$2:$A$60,0))="","",INDEX(Substances!$F$2:$F$60,MATCH($C54,Substances!$A$2:$A$60,0))),"—"))</f>
        <v/>
      </c>
      <c r="X54" s="62" t="str">
        <f>IF($C54="","",IFERROR(IF(INDEX(Substances!$G$2:$G$60,MATCH($C54,Substances!$A$2:$A$60,0))="","",INDEX(Substances!$G$2:$G$60,MATCH($C54,Substances!$A$2:$A$60,0))),"—"))</f>
        <v/>
      </c>
      <c r="Y54" s="61" t="str">
        <f>IF($C54="","",IFERROR(IF(INDEX(Substances!$H$2:$H$60,MATCH($C54,Substances!$A$2:$A$60,0))="","",INDEX(Substances!$H$2:$H$60,MATCH($C54,Substances!$A$2:$A$60,0))),"—"))</f>
        <v/>
      </c>
      <c r="Z54" s="62" t="str">
        <f>IF($C54="","",IFERROR(IF(INDEX(Substances!$I$2:$I$60,MATCH($C54,Substances!$A$2:$A$60,0))="","",INDEX(Substances!$I$2:$I$60,MATCH($C54,Substances!$A$2:$A$60,0))),"—"))</f>
        <v/>
      </c>
      <c r="AA54" s="62" t="str">
        <f>IF($C54="","",IFERROR(IF(INDEX(Substances!$J$2:$J$60,MATCH($C54,Substances!$A$2:$A$60,0))="","",INDEX(Substances!$J$2:$J$60,MATCH($C54,Substances!$A$2:$A$60,0))),"—"))</f>
        <v/>
      </c>
      <c r="AB54" s="63" t="str">
        <f>IF($C54="","",IFERROR(IF(INDEX(Substances!$K$2:$K$60,MATCH($C54,Substances!$A$2:$A$60,0))="","",INDEX(Substances!$K$2:$K$60,MATCH($C54,Substances!$A$2:$A$60,0))),"—"))</f>
        <v/>
      </c>
      <c r="AC54" s="60" t="str">
        <f t="shared" si="9"/>
        <v/>
      </c>
      <c r="AD54" s="64" t="str">
        <f>IF($C54="","",IFERROR(N($G54)*100000+Tables!$B$4,"—"))</f>
        <v/>
      </c>
      <c r="AE54" s="65" t="str">
        <f t="shared" si="10"/>
        <v/>
      </c>
      <c r="AF54" s="65" t="str">
        <f t="shared" si="11"/>
        <v/>
      </c>
      <c r="AG54" s="64" t="str">
        <f>IF($C54="","",IFERROR(IF($D54="Gas/vapour jet",Tables!$B$4*(($W54+1)/2)^($W54/($W54-1)),"n/a"),"—"))</f>
        <v/>
      </c>
      <c r="AH54" s="66" t="str">
        <f t="shared" si="12"/>
        <v/>
      </c>
      <c r="AI54" s="67" t="str">
        <f>IF($C54="","",IFERROR(IF($D54="Gas/vapour jet","n/a",MIN(101.325,IF($P54&lt;&gt;"",$P54,IF(N(INDEX(Substances!$L$2:$L$60,MATCH($C54,Substances!$A$2:$A$60,0)))&lt;&gt;0,0.133322*10^(INDEX(Substances!$L$2:$L$60,MATCH($C54,Substances!$A$2:$A$60,0))-INDEX(Substances!$M$2:$M$60,MATCH($C54,Substances!$A$2:$A$60,0))/(INDEX(Substances!$N$2:$N$60,MATCH($C54,Substances!$A$2:$A$60,0))+$H54)),101.325*EXP(10.58*(1-($Y54+273.15)/$AE54)))))),"—"))</f>
        <v/>
      </c>
      <c r="AJ54" s="68" t="str">
        <f t="shared" si="13"/>
        <v/>
      </c>
      <c r="AK54" s="69" t="str">
        <f>IF($C54="","",IFERROR(IF($D54="Gas/vapour jet",IF($AH54="Choked",$K54*$J54*0.000001*$AD54*SQRT($W54*$U54/($L54*Tables!$B$5*$AE54)*(2/($W54+1))^(($W54+1)/($W54-1))),$K54*$J54*0.000001*$AD54*SQRT($U54/($L54*Tables!$B$5*$AE54)*(2*$W54/($W54-1))*(1-(Tables!$B$4/$AD54)^(($W54-1)/$W54))*(Tables!$B$4/$AD54)^(2/$W54))),IF($D54="Liquid jet",$AJ54*IF($M54&lt;&gt;"",$M54,IF($H54&gt;=$Y54,1,0)),6.55*$O54^0.78*$N54*$AI54*$U54^0.667/(Tables!$B$5*$AE54))),"—"))</f>
        <v/>
      </c>
      <c r="AL54" s="70" t="str">
        <f>IF($C54="","",IFERROR(Tables!$B$10*$U54*$V54,"—"))</f>
        <v/>
      </c>
      <c r="AM54" s="67" t="str">
        <f>IF($C54="","",IFERROR(INDEX(Tables!$B$15:$B$17,MATCH($E54,Tables!$A$15:$A$17,0)),"—"))</f>
        <v/>
      </c>
      <c r="AN54" s="68" t="str">
        <f>IF($C54="","",IFERROR($AK54/($AM54*$AL54)*$AF54/Tables!$B$9,"—"))</f>
        <v/>
      </c>
      <c r="AO54" s="70" t="str">
        <f>IF($C54="","",IFERROR(IF($F54="Outdoor",Tables!$B$8,$R54/3600),"—"))</f>
        <v/>
      </c>
      <c r="AP54" s="71" t="str">
        <f t="shared" si="14"/>
        <v/>
      </c>
      <c r="AQ54" s="72" t="str">
        <f>IF($C54="","",IFERROR(IF($AP54&lt;Tables!$B$7,"High",IF($F54="Outdoor","Medium",IF($AP54&lt;$Q54,"Medium","Low"))),"—"))</f>
        <v/>
      </c>
      <c r="AR54" s="73" t="str">
        <f>IF($C54="","",IFERROR(-$S54/$AO54*LN($V54*$AM54/Tables!$B$6)/60,"—"))</f>
        <v/>
      </c>
      <c r="AS54" s="74" t="str">
        <f>IF($C54="","",IFERROR(INDEX(Tables!$B$22:$J$24,MATCH($E54,Tables!$A$22:$A$24,0),MATCH($AQ54&amp;"-"&amp;$T54,Tables!$B$21:$J$21,0)),"—"))</f>
        <v/>
      </c>
      <c r="AT54" s="75" t="str">
        <f t="shared" si="15"/>
        <v/>
      </c>
      <c r="AU54" s="76" t="str">
        <f t="shared" si="16"/>
        <v/>
      </c>
      <c r="AV54" s="72" t="str">
        <f>IF($C54="","",IFERROR(IF($AU54="None required","—",$AB54&amp;" "&amp;INDEX(Tables!$B$31:$B$37,MATCH($AA54-0.001,Tables!$A$31:$A$37,1))),"—"))</f>
        <v/>
      </c>
      <c r="AW54" s="77" t="str">
        <f t="shared" si="17"/>
        <v/>
      </c>
    </row>
    <row r="55" spans="1:49" ht="18" customHeight="1" x14ac:dyDescent="0.35">
      <c r="A55" s="54"/>
      <c r="B55" s="55"/>
      <c r="C55" s="54"/>
      <c r="D55" s="54"/>
      <c r="E55" s="54"/>
      <c r="F55" s="54"/>
      <c r="G55" s="56"/>
      <c r="H55" s="57"/>
      <c r="I55" s="57"/>
      <c r="J55" s="58"/>
      <c r="K55" s="56"/>
      <c r="L55" s="56"/>
      <c r="M55" s="56"/>
      <c r="N55" s="56"/>
      <c r="O55" s="56"/>
      <c r="P55" s="56"/>
      <c r="Q55" s="59"/>
      <c r="R55" s="57"/>
      <c r="S55" s="57"/>
      <c r="T55" s="54"/>
      <c r="U55" s="60" t="str">
        <f>IF($C55="","",IFERROR(IF(INDEX(Substances!$C$2:$C$60,MATCH($C55,Substances!$A$2:$A$60,0))="","",INDEX(Substances!$C$2:$C$60,MATCH($C55,Substances!$A$2:$A$60,0))),"—"))</f>
        <v/>
      </c>
      <c r="V55" s="61" t="str">
        <f>IF($C55="","",IFERROR(IF(INDEX(Substances!$D$2:$D$60,MATCH($C55,Substances!$A$2:$A$60,0))="","",INDEX(Substances!$D$2:$D$60,MATCH($C55,Substances!$A$2:$A$60,0))),"—"))</f>
        <v/>
      </c>
      <c r="W55" s="60" t="str">
        <f>IF($C55="","",IFERROR(IF(INDEX(Substances!$F$2:$F$60,MATCH($C55,Substances!$A$2:$A$60,0))="","",INDEX(Substances!$F$2:$F$60,MATCH($C55,Substances!$A$2:$A$60,0))),"—"))</f>
        <v/>
      </c>
      <c r="X55" s="62" t="str">
        <f>IF($C55="","",IFERROR(IF(INDEX(Substances!$G$2:$G$60,MATCH($C55,Substances!$A$2:$A$60,0))="","",INDEX(Substances!$G$2:$G$60,MATCH($C55,Substances!$A$2:$A$60,0))),"—"))</f>
        <v/>
      </c>
      <c r="Y55" s="61" t="str">
        <f>IF($C55="","",IFERROR(IF(INDEX(Substances!$H$2:$H$60,MATCH($C55,Substances!$A$2:$A$60,0))="","",INDEX(Substances!$H$2:$H$60,MATCH($C55,Substances!$A$2:$A$60,0))),"—"))</f>
        <v/>
      </c>
      <c r="Z55" s="62" t="str">
        <f>IF($C55="","",IFERROR(IF(INDEX(Substances!$I$2:$I$60,MATCH($C55,Substances!$A$2:$A$60,0))="","",INDEX(Substances!$I$2:$I$60,MATCH($C55,Substances!$A$2:$A$60,0))),"—"))</f>
        <v/>
      </c>
      <c r="AA55" s="62" t="str">
        <f>IF($C55="","",IFERROR(IF(INDEX(Substances!$J$2:$J$60,MATCH($C55,Substances!$A$2:$A$60,0))="","",INDEX(Substances!$J$2:$J$60,MATCH($C55,Substances!$A$2:$A$60,0))),"—"))</f>
        <v/>
      </c>
      <c r="AB55" s="63" t="str">
        <f>IF($C55="","",IFERROR(IF(INDEX(Substances!$K$2:$K$60,MATCH($C55,Substances!$A$2:$A$60,0))="","",INDEX(Substances!$K$2:$K$60,MATCH($C55,Substances!$A$2:$A$60,0))),"—"))</f>
        <v/>
      </c>
      <c r="AC55" s="60" t="str">
        <f t="shared" si="9"/>
        <v/>
      </c>
      <c r="AD55" s="64" t="str">
        <f>IF($C55="","",IFERROR(N($G55)*100000+Tables!$B$4,"—"))</f>
        <v/>
      </c>
      <c r="AE55" s="65" t="str">
        <f t="shared" si="10"/>
        <v/>
      </c>
      <c r="AF55" s="65" t="str">
        <f t="shared" si="11"/>
        <v/>
      </c>
      <c r="AG55" s="64" t="str">
        <f>IF($C55="","",IFERROR(IF($D55="Gas/vapour jet",Tables!$B$4*(($W55+1)/2)^($W55/($W55-1)),"n/a"),"—"))</f>
        <v/>
      </c>
      <c r="AH55" s="66" t="str">
        <f t="shared" si="12"/>
        <v/>
      </c>
      <c r="AI55" s="67" t="str">
        <f>IF($C55="","",IFERROR(IF($D55="Gas/vapour jet","n/a",MIN(101.325,IF($P55&lt;&gt;"",$P55,IF(N(INDEX(Substances!$L$2:$L$60,MATCH($C55,Substances!$A$2:$A$60,0)))&lt;&gt;0,0.133322*10^(INDEX(Substances!$L$2:$L$60,MATCH($C55,Substances!$A$2:$A$60,0))-INDEX(Substances!$M$2:$M$60,MATCH($C55,Substances!$A$2:$A$60,0))/(INDEX(Substances!$N$2:$N$60,MATCH($C55,Substances!$A$2:$A$60,0))+$H55)),101.325*EXP(10.58*(1-($Y55+273.15)/$AE55)))))),"—"))</f>
        <v/>
      </c>
      <c r="AJ55" s="68" t="str">
        <f t="shared" si="13"/>
        <v/>
      </c>
      <c r="AK55" s="69" t="str">
        <f>IF($C55="","",IFERROR(IF($D55="Gas/vapour jet",IF($AH55="Choked",$K55*$J55*0.000001*$AD55*SQRT($W55*$U55/($L55*Tables!$B$5*$AE55)*(2/($W55+1))^(($W55+1)/($W55-1))),$K55*$J55*0.000001*$AD55*SQRT($U55/($L55*Tables!$B$5*$AE55)*(2*$W55/($W55-1))*(1-(Tables!$B$4/$AD55)^(($W55-1)/$W55))*(Tables!$B$4/$AD55)^(2/$W55))),IF($D55="Liquid jet",$AJ55*IF($M55&lt;&gt;"",$M55,IF($H55&gt;=$Y55,1,0)),6.55*$O55^0.78*$N55*$AI55*$U55^0.667/(Tables!$B$5*$AE55))),"—"))</f>
        <v/>
      </c>
      <c r="AL55" s="70" t="str">
        <f>IF($C55="","",IFERROR(Tables!$B$10*$U55*$V55,"—"))</f>
        <v/>
      </c>
      <c r="AM55" s="67" t="str">
        <f>IF($C55="","",IFERROR(INDEX(Tables!$B$15:$B$17,MATCH($E55,Tables!$A$15:$A$17,0)),"—"))</f>
        <v/>
      </c>
      <c r="AN55" s="68" t="str">
        <f>IF($C55="","",IFERROR($AK55/($AM55*$AL55)*$AF55/Tables!$B$9,"—"))</f>
        <v/>
      </c>
      <c r="AO55" s="70" t="str">
        <f>IF($C55="","",IFERROR(IF($F55="Outdoor",Tables!$B$8,$R55/3600),"—"))</f>
        <v/>
      </c>
      <c r="AP55" s="71" t="str">
        <f t="shared" si="14"/>
        <v/>
      </c>
      <c r="AQ55" s="72" t="str">
        <f>IF($C55="","",IFERROR(IF($AP55&lt;Tables!$B$7,"High",IF($F55="Outdoor","Medium",IF($AP55&lt;$Q55,"Medium","Low"))),"—"))</f>
        <v/>
      </c>
      <c r="AR55" s="73" t="str">
        <f>IF($C55="","",IFERROR(-$S55/$AO55*LN($V55*$AM55/Tables!$B$6)/60,"—"))</f>
        <v/>
      </c>
      <c r="AS55" s="74" t="str">
        <f>IF($C55="","",IFERROR(INDEX(Tables!$B$22:$J$24,MATCH($E55,Tables!$A$22:$A$24,0),MATCH($AQ55&amp;"-"&amp;$T55,Tables!$B$21:$J$21,0)),"—"))</f>
        <v/>
      </c>
      <c r="AT55" s="75" t="str">
        <f t="shared" si="15"/>
        <v/>
      </c>
      <c r="AU55" s="76" t="str">
        <f t="shared" si="16"/>
        <v/>
      </c>
      <c r="AV55" s="72" t="str">
        <f>IF($C55="","",IFERROR(IF($AU55="None required","—",$AB55&amp;" "&amp;INDEX(Tables!$B$31:$B$37,MATCH($AA55-0.001,Tables!$A$31:$A$37,1))),"—"))</f>
        <v/>
      </c>
      <c r="AW55" s="77" t="str">
        <f t="shared" si="17"/>
        <v/>
      </c>
    </row>
    <row r="56" spans="1:49" ht="18" customHeight="1" x14ac:dyDescent="0.35">
      <c r="A56" s="54"/>
      <c r="B56" s="55"/>
      <c r="C56" s="54"/>
      <c r="D56" s="54"/>
      <c r="E56" s="54"/>
      <c r="F56" s="54"/>
      <c r="G56" s="56"/>
      <c r="H56" s="57"/>
      <c r="I56" s="57"/>
      <c r="J56" s="58"/>
      <c r="K56" s="56"/>
      <c r="L56" s="56"/>
      <c r="M56" s="56"/>
      <c r="N56" s="56"/>
      <c r="O56" s="56"/>
      <c r="P56" s="56"/>
      <c r="Q56" s="59"/>
      <c r="R56" s="57"/>
      <c r="S56" s="57"/>
      <c r="T56" s="54"/>
      <c r="U56" s="60" t="str">
        <f>IF($C56="","",IFERROR(IF(INDEX(Substances!$C$2:$C$60,MATCH($C56,Substances!$A$2:$A$60,0))="","",INDEX(Substances!$C$2:$C$60,MATCH($C56,Substances!$A$2:$A$60,0))),"—"))</f>
        <v/>
      </c>
      <c r="V56" s="61" t="str">
        <f>IF($C56="","",IFERROR(IF(INDEX(Substances!$D$2:$D$60,MATCH($C56,Substances!$A$2:$A$60,0))="","",INDEX(Substances!$D$2:$D$60,MATCH($C56,Substances!$A$2:$A$60,0))),"—"))</f>
        <v/>
      </c>
      <c r="W56" s="60" t="str">
        <f>IF($C56="","",IFERROR(IF(INDEX(Substances!$F$2:$F$60,MATCH($C56,Substances!$A$2:$A$60,0))="","",INDEX(Substances!$F$2:$F$60,MATCH($C56,Substances!$A$2:$A$60,0))),"—"))</f>
        <v/>
      </c>
      <c r="X56" s="62" t="str">
        <f>IF($C56="","",IFERROR(IF(INDEX(Substances!$G$2:$G$60,MATCH($C56,Substances!$A$2:$A$60,0))="","",INDEX(Substances!$G$2:$G$60,MATCH($C56,Substances!$A$2:$A$60,0))),"—"))</f>
        <v/>
      </c>
      <c r="Y56" s="61" t="str">
        <f>IF($C56="","",IFERROR(IF(INDEX(Substances!$H$2:$H$60,MATCH($C56,Substances!$A$2:$A$60,0))="","",INDEX(Substances!$H$2:$H$60,MATCH($C56,Substances!$A$2:$A$60,0))),"—"))</f>
        <v/>
      </c>
      <c r="Z56" s="62" t="str">
        <f>IF($C56="","",IFERROR(IF(INDEX(Substances!$I$2:$I$60,MATCH($C56,Substances!$A$2:$A$60,0))="","",INDEX(Substances!$I$2:$I$60,MATCH($C56,Substances!$A$2:$A$60,0))),"—"))</f>
        <v/>
      </c>
      <c r="AA56" s="62" t="str">
        <f>IF($C56="","",IFERROR(IF(INDEX(Substances!$J$2:$J$60,MATCH($C56,Substances!$A$2:$A$60,0))="","",INDEX(Substances!$J$2:$J$60,MATCH($C56,Substances!$A$2:$A$60,0))),"—"))</f>
        <v/>
      </c>
      <c r="AB56" s="63" t="str">
        <f>IF($C56="","",IFERROR(IF(INDEX(Substances!$K$2:$K$60,MATCH($C56,Substances!$A$2:$A$60,0))="","",INDEX(Substances!$K$2:$K$60,MATCH($C56,Substances!$A$2:$A$60,0))),"—"))</f>
        <v/>
      </c>
      <c r="AC56" s="60" t="str">
        <f t="shared" si="9"/>
        <v/>
      </c>
      <c r="AD56" s="64" t="str">
        <f>IF($C56="","",IFERROR(N($G56)*100000+Tables!$B$4,"—"))</f>
        <v/>
      </c>
      <c r="AE56" s="65" t="str">
        <f t="shared" si="10"/>
        <v/>
      </c>
      <c r="AF56" s="65" t="str">
        <f t="shared" si="11"/>
        <v/>
      </c>
      <c r="AG56" s="64" t="str">
        <f>IF($C56="","",IFERROR(IF($D56="Gas/vapour jet",Tables!$B$4*(($W56+1)/2)^($W56/($W56-1)),"n/a"),"—"))</f>
        <v/>
      </c>
      <c r="AH56" s="66" t="str">
        <f t="shared" si="12"/>
        <v/>
      </c>
      <c r="AI56" s="67" t="str">
        <f>IF($C56="","",IFERROR(IF($D56="Gas/vapour jet","n/a",MIN(101.325,IF($P56&lt;&gt;"",$P56,IF(N(INDEX(Substances!$L$2:$L$60,MATCH($C56,Substances!$A$2:$A$60,0)))&lt;&gt;0,0.133322*10^(INDEX(Substances!$L$2:$L$60,MATCH($C56,Substances!$A$2:$A$60,0))-INDEX(Substances!$M$2:$M$60,MATCH($C56,Substances!$A$2:$A$60,0))/(INDEX(Substances!$N$2:$N$60,MATCH($C56,Substances!$A$2:$A$60,0))+$H56)),101.325*EXP(10.58*(1-($Y56+273.15)/$AE56)))))),"—"))</f>
        <v/>
      </c>
      <c r="AJ56" s="68" t="str">
        <f t="shared" si="13"/>
        <v/>
      </c>
      <c r="AK56" s="69" t="str">
        <f>IF($C56="","",IFERROR(IF($D56="Gas/vapour jet",IF($AH56="Choked",$K56*$J56*0.000001*$AD56*SQRT($W56*$U56/($L56*Tables!$B$5*$AE56)*(2/($W56+1))^(($W56+1)/($W56-1))),$K56*$J56*0.000001*$AD56*SQRT($U56/($L56*Tables!$B$5*$AE56)*(2*$W56/($W56-1))*(1-(Tables!$B$4/$AD56)^(($W56-1)/$W56))*(Tables!$B$4/$AD56)^(2/$W56))),IF($D56="Liquid jet",$AJ56*IF($M56&lt;&gt;"",$M56,IF($H56&gt;=$Y56,1,0)),6.55*$O56^0.78*$N56*$AI56*$U56^0.667/(Tables!$B$5*$AE56))),"—"))</f>
        <v/>
      </c>
      <c r="AL56" s="70" t="str">
        <f>IF($C56="","",IFERROR(Tables!$B$10*$U56*$V56,"—"))</f>
        <v/>
      </c>
      <c r="AM56" s="67" t="str">
        <f>IF($C56="","",IFERROR(INDEX(Tables!$B$15:$B$17,MATCH($E56,Tables!$A$15:$A$17,0)),"—"))</f>
        <v/>
      </c>
      <c r="AN56" s="68" t="str">
        <f>IF($C56="","",IFERROR($AK56/($AM56*$AL56)*$AF56/Tables!$B$9,"—"))</f>
        <v/>
      </c>
      <c r="AO56" s="70" t="str">
        <f>IF($C56="","",IFERROR(IF($F56="Outdoor",Tables!$B$8,$R56/3600),"—"))</f>
        <v/>
      </c>
      <c r="AP56" s="71" t="str">
        <f t="shared" si="14"/>
        <v/>
      </c>
      <c r="AQ56" s="72" t="str">
        <f>IF($C56="","",IFERROR(IF($AP56&lt;Tables!$B$7,"High",IF($F56="Outdoor","Medium",IF($AP56&lt;$Q56,"Medium","Low"))),"—"))</f>
        <v/>
      </c>
      <c r="AR56" s="73" t="str">
        <f>IF($C56="","",IFERROR(-$S56/$AO56*LN($V56*$AM56/Tables!$B$6)/60,"—"))</f>
        <v/>
      </c>
      <c r="AS56" s="74" t="str">
        <f>IF($C56="","",IFERROR(INDEX(Tables!$B$22:$J$24,MATCH($E56,Tables!$A$22:$A$24,0),MATCH($AQ56&amp;"-"&amp;$T56,Tables!$B$21:$J$21,0)),"—"))</f>
        <v/>
      </c>
      <c r="AT56" s="75" t="str">
        <f t="shared" si="15"/>
        <v/>
      </c>
      <c r="AU56" s="76" t="str">
        <f t="shared" si="16"/>
        <v/>
      </c>
      <c r="AV56" s="72" t="str">
        <f>IF($C56="","",IFERROR(IF($AU56="None required","—",$AB56&amp;" "&amp;INDEX(Tables!$B$31:$B$37,MATCH($AA56-0.001,Tables!$A$31:$A$37,1))),"—"))</f>
        <v/>
      </c>
      <c r="AW56" s="77" t="str">
        <f t="shared" si="17"/>
        <v/>
      </c>
    </row>
    <row r="57" spans="1:49" ht="18" customHeight="1" x14ac:dyDescent="0.35">
      <c r="A57" s="54"/>
      <c r="B57" s="55"/>
      <c r="C57" s="54"/>
      <c r="D57" s="54"/>
      <c r="E57" s="54"/>
      <c r="F57" s="54"/>
      <c r="G57" s="56"/>
      <c r="H57" s="57"/>
      <c r="I57" s="57"/>
      <c r="J57" s="58"/>
      <c r="K57" s="56"/>
      <c r="L57" s="56"/>
      <c r="M57" s="56"/>
      <c r="N57" s="56"/>
      <c r="O57" s="56"/>
      <c r="P57" s="56"/>
      <c r="Q57" s="59"/>
      <c r="R57" s="57"/>
      <c r="S57" s="57"/>
      <c r="T57" s="54"/>
      <c r="U57" s="60" t="str">
        <f>IF($C57="","",IFERROR(IF(INDEX(Substances!$C$2:$C$60,MATCH($C57,Substances!$A$2:$A$60,0))="","",INDEX(Substances!$C$2:$C$60,MATCH($C57,Substances!$A$2:$A$60,0))),"—"))</f>
        <v/>
      </c>
      <c r="V57" s="61" t="str">
        <f>IF($C57="","",IFERROR(IF(INDEX(Substances!$D$2:$D$60,MATCH($C57,Substances!$A$2:$A$60,0))="","",INDEX(Substances!$D$2:$D$60,MATCH($C57,Substances!$A$2:$A$60,0))),"—"))</f>
        <v/>
      </c>
      <c r="W57" s="60" t="str">
        <f>IF($C57="","",IFERROR(IF(INDEX(Substances!$F$2:$F$60,MATCH($C57,Substances!$A$2:$A$60,0))="","",INDEX(Substances!$F$2:$F$60,MATCH($C57,Substances!$A$2:$A$60,0))),"—"))</f>
        <v/>
      </c>
      <c r="X57" s="62" t="str">
        <f>IF($C57="","",IFERROR(IF(INDEX(Substances!$G$2:$G$60,MATCH($C57,Substances!$A$2:$A$60,0))="","",INDEX(Substances!$G$2:$G$60,MATCH($C57,Substances!$A$2:$A$60,0))),"—"))</f>
        <v/>
      </c>
      <c r="Y57" s="61" t="str">
        <f>IF($C57="","",IFERROR(IF(INDEX(Substances!$H$2:$H$60,MATCH($C57,Substances!$A$2:$A$60,0))="","",INDEX(Substances!$H$2:$H$60,MATCH($C57,Substances!$A$2:$A$60,0))),"—"))</f>
        <v/>
      </c>
      <c r="Z57" s="62" t="str">
        <f>IF($C57="","",IFERROR(IF(INDEX(Substances!$I$2:$I$60,MATCH($C57,Substances!$A$2:$A$60,0))="","",INDEX(Substances!$I$2:$I$60,MATCH($C57,Substances!$A$2:$A$60,0))),"—"))</f>
        <v/>
      </c>
      <c r="AA57" s="62" t="str">
        <f>IF($C57="","",IFERROR(IF(INDEX(Substances!$J$2:$J$60,MATCH($C57,Substances!$A$2:$A$60,0))="","",INDEX(Substances!$J$2:$J$60,MATCH($C57,Substances!$A$2:$A$60,0))),"—"))</f>
        <v/>
      </c>
      <c r="AB57" s="63" t="str">
        <f>IF($C57="","",IFERROR(IF(INDEX(Substances!$K$2:$K$60,MATCH($C57,Substances!$A$2:$A$60,0))="","",INDEX(Substances!$K$2:$K$60,MATCH($C57,Substances!$A$2:$A$60,0))),"—"))</f>
        <v/>
      </c>
      <c r="AC57" s="60" t="str">
        <f t="shared" si="9"/>
        <v/>
      </c>
      <c r="AD57" s="64" t="str">
        <f>IF($C57="","",IFERROR(N($G57)*100000+Tables!$B$4,"—"))</f>
        <v/>
      </c>
      <c r="AE57" s="65" t="str">
        <f t="shared" si="10"/>
        <v/>
      </c>
      <c r="AF57" s="65" t="str">
        <f t="shared" si="11"/>
        <v/>
      </c>
      <c r="AG57" s="64" t="str">
        <f>IF($C57="","",IFERROR(IF($D57="Gas/vapour jet",Tables!$B$4*(($W57+1)/2)^($W57/($W57-1)),"n/a"),"—"))</f>
        <v/>
      </c>
      <c r="AH57" s="66" t="str">
        <f t="shared" si="12"/>
        <v/>
      </c>
      <c r="AI57" s="67" t="str">
        <f>IF($C57="","",IFERROR(IF($D57="Gas/vapour jet","n/a",MIN(101.325,IF($P57&lt;&gt;"",$P57,IF(N(INDEX(Substances!$L$2:$L$60,MATCH($C57,Substances!$A$2:$A$60,0)))&lt;&gt;0,0.133322*10^(INDEX(Substances!$L$2:$L$60,MATCH($C57,Substances!$A$2:$A$60,0))-INDEX(Substances!$M$2:$M$60,MATCH($C57,Substances!$A$2:$A$60,0))/(INDEX(Substances!$N$2:$N$60,MATCH($C57,Substances!$A$2:$A$60,0))+$H57)),101.325*EXP(10.58*(1-($Y57+273.15)/$AE57)))))),"—"))</f>
        <v/>
      </c>
      <c r="AJ57" s="68" t="str">
        <f t="shared" si="13"/>
        <v/>
      </c>
      <c r="AK57" s="69" t="str">
        <f>IF($C57="","",IFERROR(IF($D57="Gas/vapour jet",IF($AH57="Choked",$K57*$J57*0.000001*$AD57*SQRT($W57*$U57/($L57*Tables!$B$5*$AE57)*(2/($W57+1))^(($W57+1)/($W57-1))),$K57*$J57*0.000001*$AD57*SQRT($U57/($L57*Tables!$B$5*$AE57)*(2*$W57/($W57-1))*(1-(Tables!$B$4/$AD57)^(($W57-1)/$W57))*(Tables!$B$4/$AD57)^(2/$W57))),IF($D57="Liquid jet",$AJ57*IF($M57&lt;&gt;"",$M57,IF($H57&gt;=$Y57,1,0)),6.55*$O57^0.78*$N57*$AI57*$U57^0.667/(Tables!$B$5*$AE57))),"—"))</f>
        <v/>
      </c>
      <c r="AL57" s="70" t="str">
        <f>IF($C57="","",IFERROR(Tables!$B$10*$U57*$V57,"—"))</f>
        <v/>
      </c>
      <c r="AM57" s="67" t="str">
        <f>IF($C57="","",IFERROR(INDEX(Tables!$B$15:$B$17,MATCH($E57,Tables!$A$15:$A$17,0)),"—"))</f>
        <v/>
      </c>
      <c r="AN57" s="68" t="str">
        <f>IF($C57="","",IFERROR($AK57/($AM57*$AL57)*$AF57/Tables!$B$9,"—"))</f>
        <v/>
      </c>
      <c r="AO57" s="70" t="str">
        <f>IF($C57="","",IFERROR(IF($F57="Outdoor",Tables!$B$8,$R57/3600),"—"))</f>
        <v/>
      </c>
      <c r="AP57" s="71" t="str">
        <f t="shared" si="14"/>
        <v/>
      </c>
      <c r="AQ57" s="72" t="str">
        <f>IF($C57="","",IFERROR(IF($AP57&lt;Tables!$B$7,"High",IF($F57="Outdoor","Medium",IF($AP57&lt;$Q57,"Medium","Low"))),"—"))</f>
        <v/>
      </c>
      <c r="AR57" s="73" t="str">
        <f>IF($C57="","",IFERROR(-$S57/$AO57*LN($V57*$AM57/Tables!$B$6)/60,"—"))</f>
        <v/>
      </c>
      <c r="AS57" s="74" t="str">
        <f>IF($C57="","",IFERROR(INDEX(Tables!$B$22:$J$24,MATCH($E57,Tables!$A$22:$A$24,0),MATCH($AQ57&amp;"-"&amp;$T57,Tables!$B$21:$J$21,0)),"—"))</f>
        <v/>
      </c>
      <c r="AT57" s="75" t="str">
        <f t="shared" si="15"/>
        <v/>
      </c>
      <c r="AU57" s="76" t="str">
        <f t="shared" si="16"/>
        <v/>
      </c>
      <c r="AV57" s="72" t="str">
        <f>IF($C57="","",IFERROR(IF($AU57="None required","—",$AB57&amp;" "&amp;INDEX(Tables!$B$31:$B$37,MATCH($AA57-0.001,Tables!$A$31:$A$37,1))),"—"))</f>
        <v/>
      </c>
      <c r="AW57" s="77" t="str">
        <f t="shared" si="17"/>
        <v/>
      </c>
    </row>
  </sheetData>
  <mergeCells count="4">
    <mergeCell ref="U6:AC6"/>
    <mergeCell ref="A6:T6"/>
    <mergeCell ref="AL6:AW6"/>
    <mergeCell ref="AD6:AK6"/>
  </mergeCells>
  <conditionalFormatting sqref="AS8:AS57">
    <cfRule type="expression" dxfId="7" priority="2">
      <formula>ISNUMBER(SEARCH("Zone 0",IFERROR(LEFT($AS8,FIND("(",$AS8)-1),$AS8)))</formula>
    </cfRule>
    <cfRule type="expression" dxfId="6" priority="3">
      <formula>ISNUMBER(SEARCH("Zone 1",IFERROR(LEFT($AS8,FIND("(",$AS8)-1),$AS8)))</formula>
    </cfRule>
    <cfRule type="expression" dxfId="5" priority="4">
      <formula>ISNUMBER(SEARCH("Zone 2",IFERROR(LEFT($AS8,FIND("(",$AS8)-1),$AS8)))</formula>
    </cfRule>
    <cfRule type="expression" dxfId="4" priority="5">
      <formula>LEFT($AS8,3)="Non"</formula>
    </cfRule>
  </conditionalFormatting>
  <dataValidations count="4">
    <dataValidation type="list" allowBlank="1" sqref="D8:D57" xr:uid="{00000000-0002-0000-0200-000001000000}">
      <formula1>"Gas/vapour jet,Liquid jet,Pool evaporation"</formula1>
      <formula2>0</formula2>
    </dataValidation>
    <dataValidation type="list" allowBlank="1" sqref="E8:E57" xr:uid="{00000000-0002-0000-0200-000002000000}">
      <formula1>"Continuous,Primary,Secondary"</formula1>
      <formula2>0</formula2>
    </dataValidation>
    <dataValidation type="list" allowBlank="1" sqref="F8:F57" xr:uid="{00000000-0002-0000-0200-000003000000}">
      <formula1>"Indoor,Outdoor"</formula1>
      <formula2>0</formula2>
    </dataValidation>
    <dataValidation type="list" allowBlank="1" sqref="T8:T57" xr:uid="{00000000-0002-0000-0200-000004000000}">
      <formula1>"Good,Fair,Poor"</formula1>
      <formula2>0</formula2>
    </dataValidation>
  </dataValidations>
  <pageMargins left="0.4" right="0.4" top="0.5" bottom="0.5" header="0.511811023622047" footer="0.511811023622047"/>
  <pageSetup paperSize="8" fitToHeight="0" orientation="landscape" horizontalDpi="300" verticalDpi="300"/>
  <legacyDrawing r:id="rId1"/>
  <extLst>
    <ext xmlns:x14="http://schemas.microsoft.com/office/spreadsheetml/2009/9/main" uri="{CCE6A557-97BC-4b89-ADB6-D9C93CAAB3DF}">
      <x14:dataValidations xmlns:xm="http://schemas.microsoft.com/office/excel/2006/main" count="1">
        <x14:dataValidation type="list" allowBlank="1" xr:uid="{00000000-0002-0000-0200-000000000000}">
          <x14:formula1>
            <xm:f>Substances!$A$2:$A$60</xm:f>
          </x14:formula1>
          <x14:formula2>
            <xm:f>0</xm:f>
          </x14:formula2>
          <xm:sqref>C8:C57</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45"/>
  <sheetViews>
    <sheetView showGridLines="0" zoomScale="90" zoomScaleNormal="90" workbookViewId="0">
      <pane xSplit="3" ySplit="5" topLeftCell="D6" activePane="bottomRight" state="frozen"/>
      <selection pane="topRight" activeCell="D1" sqref="D1"/>
      <selection pane="bottomLeft" activeCell="A6" sqref="A6"/>
      <selection pane="bottomRight"/>
    </sheetView>
  </sheetViews>
  <sheetFormatPr defaultColWidth="8.6328125" defaultRowHeight="14.5" x14ac:dyDescent="0.35"/>
  <cols>
    <col min="1" max="1" width="7" customWidth="1"/>
    <col min="2" max="2" width="32" customWidth="1"/>
    <col min="3" max="3" width="22" customWidth="1"/>
    <col min="4" max="5" width="13" customWidth="1"/>
    <col min="6" max="7" width="11" customWidth="1"/>
    <col min="8" max="8" width="8" customWidth="1"/>
    <col min="9" max="10" width="9" customWidth="1"/>
    <col min="11" max="11" width="8" customWidth="1"/>
    <col min="12" max="13" width="11" customWidth="1"/>
    <col min="14" max="14" width="14" customWidth="1"/>
    <col min="15" max="15" width="9" customWidth="1"/>
    <col min="16" max="16" width="10" customWidth="1"/>
    <col min="17" max="18" width="12" customWidth="1"/>
    <col min="19" max="19" width="50" customWidth="1"/>
  </cols>
  <sheetData>
    <row r="1" spans="1:19" ht="28" customHeight="1" x14ac:dyDescent="0.5">
      <c r="A1" s="46" t="s">
        <v>199</v>
      </c>
      <c r="B1" s="47"/>
      <c r="C1" s="47"/>
      <c r="D1" s="47"/>
      <c r="E1" s="47"/>
      <c r="F1" s="47"/>
      <c r="G1" s="47"/>
      <c r="H1" s="47"/>
      <c r="I1" s="47"/>
      <c r="J1" s="47"/>
      <c r="K1" s="47"/>
      <c r="L1" s="47"/>
      <c r="M1" s="47"/>
      <c r="N1" s="47"/>
      <c r="O1" s="47"/>
      <c r="P1" s="47"/>
      <c r="Q1" s="47"/>
      <c r="R1" s="47"/>
      <c r="S1" s="47"/>
    </row>
    <row r="2" spans="1:19" ht="15" customHeight="1" x14ac:dyDescent="0.35">
      <c r="A2" s="41" t="s">
        <v>200</v>
      </c>
      <c r="B2" s="47"/>
      <c r="C2" s="47"/>
      <c r="D2" s="47"/>
      <c r="E2" s="47"/>
      <c r="F2" s="47"/>
      <c r="G2" s="47"/>
      <c r="H2" s="47"/>
      <c r="I2" s="47"/>
      <c r="J2" s="47"/>
      <c r="K2" s="47"/>
      <c r="L2" s="47"/>
      <c r="M2" s="47"/>
      <c r="N2" s="47"/>
      <c r="O2" s="47"/>
      <c r="P2" s="47"/>
      <c r="Q2" s="47"/>
      <c r="R2" s="47"/>
      <c r="S2" s="47"/>
    </row>
    <row r="3" spans="1:19" x14ac:dyDescent="0.35">
      <c r="A3" s="47"/>
      <c r="B3" s="47"/>
      <c r="C3" s="47"/>
      <c r="D3" s="47"/>
      <c r="E3" s="47"/>
      <c r="F3" s="47"/>
      <c r="G3" s="47"/>
      <c r="H3" s="47"/>
      <c r="I3" s="47"/>
      <c r="J3" s="47"/>
      <c r="K3" s="47"/>
      <c r="L3" s="47"/>
      <c r="M3" s="47"/>
      <c r="N3" s="47"/>
      <c r="O3" s="47"/>
      <c r="P3" s="47"/>
      <c r="Q3" s="47"/>
      <c r="R3" s="47"/>
      <c r="S3" s="47"/>
    </row>
    <row r="4" spans="1:19" x14ac:dyDescent="0.35">
      <c r="A4" s="47"/>
      <c r="B4" s="47"/>
      <c r="C4" s="47"/>
      <c r="D4" s="47"/>
      <c r="E4" s="47"/>
      <c r="F4" s="47"/>
      <c r="G4" s="47"/>
      <c r="H4" s="47"/>
      <c r="I4" s="47"/>
      <c r="J4" s="47"/>
      <c r="K4" s="47"/>
      <c r="L4" s="47"/>
      <c r="M4" s="47"/>
      <c r="N4" s="47"/>
      <c r="O4" s="47"/>
      <c r="P4" s="47"/>
      <c r="Q4" s="47"/>
      <c r="R4" s="47"/>
      <c r="S4" s="47"/>
    </row>
    <row r="5" spans="1:19" ht="46" customHeight="1" x14ac:dyDescent="0.35">
      <c r="A5" s="53" t="s">
        <v>137</v>
      </c>
      <c r="B5" s="53" t="s">
        <v>138</v>
      </c>
      <c r="C5" s="53" t="s">
        <v>201</v>
      </c>
      <c r="D5" s="53" t="s">
        <v>202</v>
      </c>
      <c r="E5" s="53" t="s">
        <v>203</v>
      </c>
      <c r="F5" s="53" t="s">
        <v>204</v>
      </c>
      <c r="G5" s="53" t="s">
        <v>205</v>
      </c>
      <c r="H5" s="53" t="s">
        <v>206</v>
      </c>
      <c r="I5" s="53" t="s">
        <v>207</v>
      </c>
      <c r="J5" s="53" t="s">
        <v>208</v>
      </c>
      <c r="K5" s="53" t="s">
        <v>209</v>
      </c>
      <c r="L5" s="53" t="s">
        <v>210</v>
      </c>
      <c r="M5" s="53" t="s">
        <v>211</v>
      </c>
      <c r="N5" s="53" t="s">
        <v>178</v>
      </c>
      <c r="O5" s="53" t="s">
        <v>180</v>
      </c>
      <c r="P5" s="53" t="s">
        <v>212</v>
      </c>
      <c r="Q5" s="53" t="s">
        <v>213</v>
      </c>
      <c r="R5" s="53" t="s">
        <v>214</v>
      </c>
      <c r="S5" s="53" t="s">
        <v>182</v>
      </c>
    </row>
    <row r="6" spans="1:19" ht="18" customHeight="1" x14ac:dyDescent="0.35">
      <c r="A6" s="54" t="s">
        <v>215</v>
      </c>
      <c r="B6" s="55" t="s">
        <v>216</v>
      </c>
      <c r="C6" s="54" t="s">
        <v>217</v>
      </c>
      <c r="D6" s="54" t="s">
        <v>69</v>
      </c>
      <c r="E6" s="54" t="s">
        <v>191</v>
      </c>
      <c r="F6" s="59">
        <v>2</v>
      </c>
      <c r="G6" s="57">
        <v>1</v>
      </c>
      <c r="H6" s="63" t="str">
        <f>IF($C6="","",IFERROR(INDEX(Dusts!$B$2:$B$40,MATCH($C6,Dusts!$A$2:$A$40,0)),"—"))</f>
        <v>IIIB</v>
      </c>
      <c r="I6" s="62">
        <f>IF($C6="","",IFERROR(INDEX(Dusts!$C$2:$C$40,MATCH($C6,Dusts!$A$2:$A$40,0)),"—"))</f>
        <v>430</v>
      </c>
      <c r="J6" s="62">
        <f>IF($C6="","",IFERROR(INDEX(Dusts!$D$2:$D$40,MATCH($C6,Dusts!$A$2:$A$40,0)),"—"))</f>
        <v>300</v>
      </c>
      <c r="K6" s="62">
        <f>IF($C6="","",IFERROR(INDEX(Dusts!$E$2:$E$40,MATCH($C6,Dusts!$A$2:$A$40,0)),"—"))</f>
        <v>30</v>
      </c>
      <c r="L6" s="66">
        <f t="shared" ref="L6:L45" si="0">IF($C6="","",IFERROR(IF($D6="Continuous",20,IF($D6="Primary",21,IF($D6="Secondary",22,99))),"—"))</f>
        <v>21</v>
      </c>
      <c r="M6" s="66">
        <f t="shared" ref="M6:M45" si="1">IF($C6="","",IFERROR(IF($E6="Poor",21,IF($E6="Fair",22,99)),"—"))</f>
        <v>22</v>
      </c>
      <c r="N6" s="76" t="str">
        <f t="shared" ref="N6:N45" si="2">IF($C6="","",IFERROR(IF(MIN($L6,$M6)=99,"Non-hazardous","Zone "&amp;MIN($L6,$M6)),"—"))</f>
        <v>Zone 21</v>
      </c>
      <c r="O6" s="76" t="str">
        <f t="shared" ref="O6:O45" si="3">IF($C6="","",IFERROR(IF($N6="Zone 20","Da",IF($N6="Zone 21","Db",IF($N6="Zone 22","Dc","None required"))),"—"))</f>
        <v>Db</v>
      </c>
      <c r="P6" s="78">
        <f t="shared" ref="P6:P45" si="4">IF($C6="","",IFERROR(2/3*$I6,"—"))</f>
        <v>286.66666666666663</v>
      </c>
      <c r="Q6" s="79">
        <f t="shared" ref="Q6:Q45" si="5">IF($C6="","",IFERROR(IF(N($F6)&lt;=5,$J6-75,IF($F6&lt;=50,"Reduce — see IEC 60079-14 graph","Lab test required")),"—"))</f>
        <v>225</v>
      </c>
      <c r="R6" s="80">
        <f t="shared" ref="R6:R45" si="6">IF($C6="","",IFERROR(IF(ISNUMBER($Q6),MIN($P6,$Q6),$P6),"—"))</f>
        <v>225</v>
      </c>
      <c r="S6" s="77" t="str">
        <f t="shared" ref="S6:S45" si="7">IF($C6="","",TRIM(IF(N($F6)&gt;5,"Layer &gt;5 mm: cloud limit shown only — layer limit must be reduced. ","")&amp;IF($H6="IIIC","Conductive dust (IIIC): check equipment group IIIC. ","")&amp;IF(IF(ISNUMBER($K6),$K6&lt;10,FALSE()),"Low MIE (&lt;10 mJ): sensitive to electrostatic ignition. ","")&amp;IF($E6="Poor","Poor housekeeping drives Zone 21 — improving cleaning lowers the zone. ","")))</f>
        <v/>
      </c>
    </row>
    <row r="7" spans="1:19" ht="18" customHeight="1" x14ac:dyDescent="0.35">
      <c r="A7" s="54"/>
      <c r="B7" s="55"/>
      <c r="C7" s="54"/>
      <c r="D7" s="54"/>
      <c r="E7" s="54"/>
      <c r="F7" s="59"/>
      <c r="G7" s="57"/>
      <c r="H7" s="63" t="str">
        <f>IF($C7="","",IFERROR(INDEX(Dusts!$B$2:$B$40,MATCH($C7,Dusts!$A$2:$A$40,0)),"—"))</f>
        <v/>
      </c>
      <c r="I7" s="62" t="str">
        <f>IF($C7="","",IFERROR(INDEX(Dusts!$C$2:$C$40,MATCH($C7,Dusts!$A$2:$A$40,0)),"—"))</f>
        <v/>
      </c>
      <c r="J7" s="62" t="str">
        <f>IF($C7="","",IFERROR(INDEX(Dusts!$D$2:$D$40,MATCH($C7,Dusts!$A$2:$A$40,0)),"—"))</f>
        <v/>
      </c>
      <c r="K7" s="62" t="str">
        <f>IF($C7="","",IFERROR(INDEX(Dusts!$E$2:$E$40,MATCH($C7,Dusts!$A$2:$A$40,0)),"—"))</f>
        <v/>
      </c>
      <c r="L7" s="66" t="str">
        <f t="shared" si="0"/>
        <v/>
      </c>
      <c r="M7" s="66" t="str">
        <f t="shared" si="1"/>
        <v/>
      </c>
      <c r="N7" s="76" t="str">
        <f t="shared" si="2"/>
        <v/>
      </c>
      <c r="O7" s="76" t="str">
        <f t="shared" si="3"/>
        <v/>
      </c>
      <c r="P7" s="78" t="str">
        <f t="shared" si="4"/>
        <v/>
      </c>
      <c r="Q7" s="79" t="str">
        <f t="shared" si="5"/>
        <v/>
      </c>
      <c r="R7" s="80" t="str">
        <f t="shared" si="6"/>
        <v/>
      </c>
      <c r="S7" s="77" t="str">
        <f t="shared" si="7"/>
        <v/>
      </c>
    </row>
    <row r="8" spans="1:19" ht="18" customHeight="1" x14ac:dyDescent="0.35">
      <c r="A8" s="54"/>
      <c r="B8" s="55"/>
      <c r="C8" s="54"/>
      <c r="D8" s="54"/>
      <c r="E8" s="54"/>
      <c r="F8" s="59"/>
      <c r="G8" s="57"/>
      <c r="H8" s="63" t="str">
        <f>IF($C8="","",IFERROR(INDEX(Dusts!$B$2:$B$40,MATCH($C8,Dusts!$A$2:$A$40,0)),"—"))</f>
        <v/>
      </c>
      <c r="I8" s="62" t="str">
        <f>IF($C8="","",IFERROR(INDEX(Dusts!$C$2:$C$40,MATCH($C8,Dusts!$A$2:$A$40,0)),"—"))</f>
        <v/>
      </c>
      <c r="J8" s="62" t="str">
        <f>IF($C8="","",IFERROR(INDEX(Dusts!$D$2:$D$40,MATCH($C8,Dusts!$A$2:$A$40,0)),"—"))</f>
        <v/>
      </c>
      <c r="K8" s="62" t="str">
        <f>IF($C8="","",IFERROR(INDEX(Dusts!$E$2:$E$40,MATCH($C8,Dusts!$A$2:$A$40,0)),"—"))</f>
        <v/>
      </c>
      <c r="L8" s="66" t="str">
        <f t="shared" si="0"/>
        <v/>
      </c>
      <c r="M8" s="66" t="str">
        <f t="shared" si="1"/>
        <v/>
      </c>
      <c r="N8" s="76" t="str">
        <f t="shared" si="2"/>
        <v/>
      </c>
      <c r="O8" s="76" t="str">
        <f t="shared" si="3"/>
        <v/>
      </c>
      <c r="P8" s="78" t="str">
        <f t="shared" si="4"/>
        <v/>
      </c>
      <c r="Q8" s="79" t="str">
        <f t="shared" si="5"/>
        <v/>
      </c>
      <c r="R8" s="80" t="str">
        <f t="shared" si="6"/>
        <v/>
      </c>
      <c r="S8" s="77" t="str">
        <f t="shared" si="7"/>
        <v/>
      </c>
    </row>
    <row r="9" spans="1:19" ht="18" customHeight="1" x14ac:dyDescent="0.35">
      <c r="A9" s="54"/>
      <c r="B9" s="55"/>
      <c r="C9" s="54"/>
      <c r="D9" s="54"/>
      <c r="E9" s="54"/>
      <c r="F9" s="59"/>
      <c r="G9" s="57"/>
      <c r="H9" s="63" t="str">
        <f>IF($C9="","",IFERROR(INDEX(Dusts!$B$2:$B$40,MATCH($C9,Dusts!$A$2:$A$40,0)),"—"))</f>
        <v/>
      </c>
      <c r="I9" s="62" t="str">
        <f>IF($C9="","",IFERROR(INDEX(Dusts!$C$2:$C$40,MATCH($C9,Dusts!$A$2:$A$40,0)),"—"))</f>
        <v/>
      </c>
      <c r="J9" s="62" t="str">
        <f>IF($C9="","",IFERROR(INDEX(Dusts!$D$2:$D$40,MATCH($C9,Dusts!$A$2:$A$40,0)),"—"))</f>
        <v/>
      </c>
      <c r="K9" s="62" t="str">
        <f>IF($C9="","",IFERROR(INDEX(Dusts!$E$2:$E$40,MATCH($C9,Dusts!$A$2:$A$40,0)),"—"))</f>
        <v/>
      </c>
      <c r="L9" s="66" t="str">
        <f t="shared" si="0"/>
        <v/>
      </c>
      <c r="M9" s="66" t="str">
        <f t="shared" si="1"/>
        <v/>
      </c>
      <c r="N9" s="76" t="str">
        <f t="shared" si="2"/>
        <v/>
      </c>
      <c r="O9" s="76" t="str">
        <f t="shared" si="3"/>
        <v/>
      </c>
      <c r="P9" s="78" t="str">
        <f t="shared" si="4"/>
        <v/>
      </c>
      <c r="Q9" s="79" t="str">
        <f t="shared" si="5"/>
        <v/>
      </c>
      <c r="R9" s="80" t="str">
        <f t="shared" si="6"/>
        <v/>
      </c>
      <c r="S9" s="77" t="str">
        <f t="shared" si="7"/>
        <v/>
      </c>
    </row>
    <row r="10" spans="1:19" ht="18" customHeight="1" x14ac:dyDescent="0.35">
      <c r="A10" s="54"/>
      <c r="B10" s="55"/>
      <c r="C10" s="54"/>
      <c r="D10" s="54"/>
      <c r="E10" s="54"/>
      <c r="F10" s="59"/>
      <c r="G10" s="57"/>
      <c r="H10" s="63" t="str">
        <f>IF($C10="","",IFERROR(INDEX(Dusts!$B$2:$B$40,MATCH($C10,Dusts!$A$2:$A$40,0)),"—"))</f>
        <v/>
      </c>
      <c r="I10" s="62" t="str">
        <f>IF($C10="","",IFERROR(INDEX(Dusts!$C$2:$C$40,MATCH($C10,Dusts!$A$2:$A$40,0)),"—"))</f>
        <v/>
      </c>
      <c r="J10" s="62" t="str">
        <f>IF($C10="","",IFERROR(INDEX(Dusts!$D$2:$D$40,MATCH($C10,Dusts!$A$2:$A$40,0)),"—"))</f>
        <v/>
      </c>
      <c r="K10" s="62" t="str">
        <f>IF($C10="","",IFERROR(INDEX(Dusts!$E$2:$E$40,MATCH($C10,Dusts!$A$2:$A$40,0)),"—"))</f>
        <v/>
      </c>
      <c r="L10" s="66" t="str">
        <f t="shared" si="0"/>
        <v/>
      </c>
      <c r="M10" s="66" t="str">
        <f t="shared" si="1"/>
        <v/>
      </c>
      <c r="N10" s="76" t="str">
        <f t="shared" si="2"/>
        <v/>
      </c>
      <c r="O10" s="76" t="str">
        <f t="shared" si="3"/>
        <v/>
      </c>
      <c r="P10" s="78" t="str">
        <f t="shared" si="4"/>
        <v/>
      </c>
      <c r="Q10" s="79" t="str">
        <f t="shared" si="5"/>
        <v/>
      </c>
      <c r="R10" s="80" t="str">
        <f t="shared" si="6"/>
        <v/>
      </c>
      <c r="S10" s="77" t="str">
        <f t="shared" si="7"/>
        <v/>
      </c>
    </row>
    <row r="11" spans="1:19" ht="18" customHeight="1" x14ac:dyDescent="0.35">
      <c r="A11" s="54"/>
      <c r="B11" s="55"/>
      <c r="C11" s="54"/>
      <c r="D11" s="54"/>
      <c r="E11" s="54"/>
      <c r="F11" s="59"/>
      <c r="G11" s="57"/>
      <c r="H11" s="63" t="str">
        <f>IF($C11="","",IFERROR(INDEX(Dusts!$B$2:$B$40,MATCH($C11,Dusts!$A$2:$A$40,0)),"—"))</f>
        <v/>
      </c>
      <c r="I11" s="62" t="str">
        <f>IF($C11="","",IFERROR(INDEX(Dusts!$C$2:$C$40,MATCH($C11,Dusts!$A$2:$A$40,0)),"—"))</f>
        <v/>
      </c>
      <c r="J11" s="62" t="str">
        <f>IF($C11="","",IFERROR(INDEX(Dusts!$D$2:$D$40,MATCH($C11,Dusts!$A$2:$A$40,0)),"—"))</f>
        <v/>
      </c>
      <c r="K11" s="62" t="str">
        <f>IF($C11="","",IFERROR(INDEX(Dusts!$E$2:$E$40,MATCH($C11,Dusts!$A$2:$A$40,0)),"—"))</f>
        <v/>
      </c>
      <c r="L11" s="66" t="str">
        <f t="shared" si="0"/>
        <v/>
      </c>
      <c r="M11" s="66" t="str">
        <f t="shared" si="1"/>
        <v/>
      </c>
      <c r="N11" s="76" t="str">
        <f t="shared" si="2"/>
        <v/>
      </c>
      <c r="O11" s="76" t="str">
        <f t="shared" si="3"/>
        <v/>
      </c>
      <c r="P11" s="78" t="str">
        <f t="shared" si="4"/>
        <v/>
      </c>
      <c r="Q11" s="79" t="str">
        <f t="shared" si="5"/>
        <v/>
      </c>
      <c r="R11" s="80" t="str">
        <f t="shared" si="6"/>
        <v/>
      </c>
      <c r="S11" s="77" t="str">
        <f t="shared" si="7"/>
        <v/>
      </c>
    </row>
    <row r="12" spans="1:19" ht="18" customHeight="1" x14ac:dyDescent="0.35">
      <c r="A12" s="54"/>
      <c r="B12" s="55"/>
      <c r="C12" s="54"/>
      <c r="D12" s="54"/>
      <c r="E12" s="54"/>
      <c r="F12" s="59"/>
      <c r="G12" s="57"/>
      <c r="H12" s="63" t="str">
        <f>IF($C12="","",IFERROR(INDEX(Dusts!$B$2:$B$40,MATCH($C12,Dusts!$A$2:$A$40,0)),"—"))</f>
        <v/>
      </c>
      <c r="I12" s="62" t="str">
        <f>IF($C12="","",IFERROR(INDEX(Dusts!$C$2:$C$40,MATCH($C12,Dusts!$A$2:$A$40,0)),"—"))</f>
        <v/>
      </c>
      <c r="J12" s="62" t="str">
        <f>IF($C12="","",IFERROR(INDEX(Dusts!$D$2:$D$40,MATCH($C12,Dusts!$A$2:$A$40,0)),"—"))</f>
        <v/>
      </c>
      <c r="K12" s="62" t="str">
        <f>IF($C12="","",IFERROR(INDEX(Dusts!$E$2:$E$40,MATCH($C12,Dusts!$A$2:$A$40,0)),"—"))</f>
        <v/>
      </c>
      <c r="L12" s="66" t="str">
        <f t="shared" si="0"/>
        <v/>
      </c>
      <c r="M12" s="66" t="str">
        <f t="shared" si="1"/>
        <v/>
      </c>
      <c r="N12" s="76" t="str">
        <f t="shared" si="2"/>
        <v/>
      </c>
      <c r="O12" s="76" t="str">
        <f t="shared" si="3"/>
        <v/>
      </c>
      <c r="P12" s="78" t="str">
        <f t="shared" si="4"/>
        <v/>
      </c>
      <c r="Q12" s="79" t="str">
        <f t="shared" si="5"/>
        <v/>
      </c>
      <c r="R12" s="80" t="str">
        <f t="shared" si="6"/>
        <v/>
      </c>
      <c r="S12" s="77" t="str">
        <f t="shared" si="7"/>
        <v/>
      </c>
    </row>
    <row r="13" spans="1:19" ht="18" customHeight="1" x14ac:dyDescent="0.35">
      <c r="A13" s="54"/>
      <c r="B13" s="55"/>
      <c r="C13" s="54"/>
      <c r="D13" s="54"/>
      <c r="E13" s="54"/>
      <c r="F13" s="59"/>
      <c r="G13" s="57"/>
      <c r="H13" s="63" t="str">
        <f>IF($C13="","",IFERROR(INDEX(Dusts!$B$2:$B$40,MATCH($C13,Dusts!$A$2:$A$40,0)),"—"))</f>
        <v/>
      </c>
      <c r="I13" s="62" t="str">
        <f>IF($C13="","",IFERROR(INDEX(Dusts!$C$2:$C$40,MATCH($C13,Dusts!$A$2:$A$40,0)),"—"))</f>
        <v/>
      </c>
      <c r="J13" s="62" t="str">
        <f>IF($C13="","",IFERROR(INDEX(Dusts!$D$2:$D$40,MATCH($C13,Dusts!$A$2:$A$40,0)),"—"))</f>
        <v/>
      </c>
      <c r="K13" s="62" t="str">
        <f>IF($C13="","",IFERROR(INDEX(Dusts!$E$2:$E$40,MATCH($C13,Dusts!$A$2:$A$40,0)),"—"))</f>
        <v/>
      </c>
      <c r="L13" s="66" t="str">
        <f t="shared" si="0"/>
        <v/>
      </c>
      <c r="M13" s="66" t="str">
        <f t="shared" si="1"/>
        <v/>
      </c>
      <c r="N13" s="76" t="str">
        <f t="shared" si="2"/>
        <v/>
      </c>
      <c r="O13" s="76" t="str">
        <f t="shared" si="3"/>
        <v/>
      </c>
      <c r="P13" s="78" t="str">
        <f t="shared" si="4"/>
        <v/>
      </c>
      <c r="Q13" s="79" t="str">
        <f t="shared" si="5"/>
        <v/>
      </c>
      <c r="R13" s="80" t="str">
        <f t="shared" si="6"/>
        <v/>
      </c>
      <c r="S13" s="77" t="str">
        <f t="shared" si="7"/>
        <v/>
      </c>
    </row>
    <row r="14" spans="1:19" ht="18" customHeight="1" x14ac:dyDescent="0.35">
      <c r="A14" s="54"/>
      <c r="B14" s="55"/>
      <c r="C14" s="54"/>
      <c r="D14" s="54"/>
      <c r="E14" s="54"/>
      <c r="F14" s="59"/>
      <c r="G14" s="57"/>
      <c r="H14" s="63" t="str">
        <f>IF($C14="","",IFERROR(INDEX(Dusts!$B$2:$B$40,MATCH($C14,Dusts!$A$2:$A$40,0)),"—"))</f>
        <v/>
      </c>
      <c r="I14" s="62" t="str">
        <f>IF($C14="","",IFERROR(INDEX(Dusts!$C$2:$C$40,MATCH($C14,Dusts!$A$2:$A$40,0)),"—"))</f>
        <v/>
      </c>
      <c r="J14" s="62" t="str">
        <f>IF($C14="","",IFERROR(INDEX(Dusts!$D$2:$D$40,MATCH($C14,Dusts!$A$2:$A$40,0)),"—"))</f>
        <v/>
      </c>
      <c r="K14" s="62" t="str">
        <f>IF($C14="","",IFERROR(INDEX(Dusts!$E$2:$E$40,MATCH($C14,Dusts!$A$2:$A$40,0)),"—"))</f>
        <v/>
      </c>
      <c r="L14" s="66" t="str">
        <f t="shared" si="0"/>
        <v/>
      </c>
      <c r="M14" s="66" t="str">
        <f t="shared" si="1"/>
        <v/>
      </c>
      <c r="N14" s="76" t="str">
        <f t="shared" si="2"/>
        <v/>
      </c>
      <c r="O14" s="76" t="str">
        <f t="shared" si="3"/>
        <v/>
      </c>
      <c r="P14" s="78" t="str">
        <f t="shared" si="4"/>
        <v/>
      </c>
      <c r="Q14" s="79" t="str">
        <f t="shared" si="5"/>
        <v/>
      </c>
      <c r="R14" s="80" t="str">
        <f t="shared" si="6"/>
        <v/>
      </c>
      <c r="S14" s="77" t="str">
        <f t="shared" si="7"/>
        <v/>
      </c>
    </row>
    <row r="15" spans="1:19" ht="18" customHeight="1" x14ac:dyDescent="0.35">
      <c r="A15" s="54"/>
      <c r="B15" s="55"/>
      <c r="C15" s="54"/>
      <c r="D15" s="54"/>
      <c r="E15" s="54"/>
      <c r="F15" s="59"/>
      <c r="G15" s="57"/>
      <c r="H15" s="63" t="str">
        <f>IF($C15="","",IFERROR(INDEX(Dusts!$B$2:$B$40,MATCH($C15,Dusts!$A$2:$A$40,0)),"—"))</f>
        <v/>
      </c>
      <c r="I15" s="62" t="str">
        <f>IF($C15="","",IFERROR(INDEX(Dusts!$C$2:$C$40,MATCH($C15,Dusts!$A$2:$A$40,0)),"—"))</f>
        <v/>
      </c>
      <c r="J15" s="62" t="str">
        <f>IF($C15="","",IFERROR(INDEX(Dusts!$D$2:$D$40,MATCH($C15,Dusts!$A$2:$A$40,0)),"—"))</f>
        <v/>
      </c>
      <c r="K15" s="62" t="str">
        <f>IF($C15="","",IFERROR(INDEX(Dusts!$E$2:$E$40,MATCH($C15,Dusts!$A$2:$A$40,0)),"—"))</f>
        <v/>
      </c>
      <c r="L15" s="66" t="str">
        <f t="shared" si="0"/>
        <v/>
      </c>
      <c r="M15" s="66" t="str">
        <f t="shared" si="1"/>
        <v/>
      </c>
      <c r="N15" s="76" t="str">
        <f t="shared" si="2"/>
        <v/>
      </c>
      <c r="O15" s="76" t="str">
        <f t="shared" si="3"/>
        <v/>
      </c>
      <c r="P15" s="78" t="str">
        <f t="shared" si="4"/>
        <v/>
      </c>
      <c r="Q15" s="79" t="str">
        <f t="shared" si="5"/>
        <v/>
      </c>
      <c r="R15" s="80" t="str">
        <f t="shared" si="6"/>
        <v/>
      </c>
      <c r="S15" s="77" t="str">
        <f t="shared" si="7"/>
        <v/>
      </c>
    </row>
    <row r="16" spans="1:19" ht="18" customHeight="1" x14ac:dyDescent="0.35">
      <c r="A16" s="54"/>
      <c r="B16" s="55"/>
      <c r="C16" s="54"/>
      <c r="D16" s="54"/>
      <c r="E16" s="54"/>
      <c r="F16" s="59"/>
      <c r="G16" s="57"/>
      <c r="H16" s="63" t="str">
        <f>IF($C16="","",IFERROR(INDEX(Dusts!$B$2:$B$40,MATCH($C16,Dusts!$A$2:$A$40,0)),"—"))</f>
        <v/>
      </c>
      <c r="I16" s="62" t="str">
        <f>IF($C16="","",IFERROR(INDEX(Dusts!$C$2:$C$40,MATCH($C16,Dusts!$A$2:$A$40,0)),"—"))</f>
        <v/>
      </c>
      <c r="J16" s="62" t="str">
        <f>IF($C16="","",IFERROR(INDEX(Dusts!$D$2:$D$40,MATCH($C16,Dusts!$A$2:$A$40,0)),"—"))</f>
        <v/>
      </c>
      <c r="K16" s="62" t="str">
        <f>IF($C16="","",IFERROR(INDEX(Dusts!$E$2:$E$40,MATCH($C16,Dusts!$A$2:$A$40,0)),"—"))</f>
        <v/>
      </c>
      <c r="L16" s="66" t="str">
        <f t="shared" si="0"/>
        <v/>
      </c>
      <c r="M16" s="66" t="str">
        <f t="shared" si="1"/>
        <v/>
      </c>
      <c r="N16" s="76" t="str">
        <f t="shared" si="2"/>
        <v/>
      </c>
      <c r="O16" s="76" t="str">
        <f t="shared" si="3"/>
        <v/>
      </c>
      <c r="P16" s="78" t="str">
        <f t="shared" si="4"/>
        <v/>
      </c>
      <c r="Q16" s="79" t="str">
        <f t="shared" si="5"/>
        <v/>
      </c>
      <c r="R16" s="80" t="str">
        <f t="shared" si="6"/>
        <v/>
      </c>
      <c r="S16" s="77" t="str">
        <f t="shared" si="7"/>
        <v/>
      </c>
    </row>
    <row r="17" spans="1:19" ht="18" customHeight="1" x14ac:dyDescent="0.35">
      <c r="A17" s="54"/>
      <c r="B17" s="55"/>
      <c r="C17" s="54"/>
      <c r="D17" s="54"/>
      <c r="E17" s="54"/>
      <c r="F17" s="59"/>
      <c r="G17" s="57"/>
      <c r="H17" s="63" t="str">
        <f>IF($C17="","",IFERROR(INDEX(Dusts!$B$2:$B$40,MATCH($C17,Dusts!$A$2:$A$40,0)),"—"))</f>
        <v/>
      </c>
      <c r="I17" s="62" t="str">
        <f>IF($C17="","",IFERROR(INDEX(Dusts!$C$2:$C$40,MATCH($C17,Dusts!$A$2:$A$40,0)),"—"))</f>
        <v/>
      </c>
      <c r="J17" s="62" t="str">
        <f>IF($C17="","",IFERROR(INDEX(Dusts!$D$2:$D$40,MATCH($C17,Dusts!$A$2:$A$40,0)),"—"))</f>
        <v/>
      </c>
      <c r="K17" s="62" t="str">
        <f>IF($C17="","",IFERROR(INDEX(Dusts!$E$2:$E$40,MATCH($C17,Dusts!$A$2:$A$40,0)),"—"))</f>
        <v/>
      </c>
      <c r="L17" s="66" t="str">
        <f t="shared" si="0"/>
        <v/>
      </c>
      <c r="M17" s="66" t="str">
        <f t="shared" si="1"/>
        <v/>
      </c>
      <c r="N17" s="76" t="str">
        <f t="shared" si="2"/>
        <v/>
      </c>
      <c r="O17" s="76" t="str">
        <f t="shared" si="3"/>
        <v/>
      </c>
      <c r="P17" s="78" t="str">
        <f t="shared" si="4"/>
        <v/>
      </c>
      <c r="Q17" s="79" t="str">
        <f t="shared" si="5"/>
        <v/>
      </c>
      <c r="R17" s="80" t="str">
        <f t="shared" si="6"/>
        <v/>
      </c>
      <c r="S17" s="77" t="str">
        <f t="shared" si="7"/>
        <v/>
      </c>
    </row>
    <row r="18" spans="1:19" ht="18" customHeight="1" x14ac:dyDescent="0.35">
      <c r="A18" s="54"/>
      <c r="B18" s="55"/>
      <c r="C18" s="54"/>
      <c r="D18" s="54"/>
      <c r="E18" s="54"/>
      <c r="F18" s="59"/>
      <c r="G18" s="57"/>
      <c r="H18" s="63" t="str">
        <f>IF($C18="","",IFERROR(INDEX(Dusts!$B$2:$B$40,MATCH($C18,Dusts!$A$2:$A$40,0)),"—"))</f>
        <v/>
      </c>
      <c r="I18" s="62" t="str">
        <f>IF($C18="","",IFERROR(INDEX(Dusts!$C$2:$C$40,MATCH($C18,Dusts!$A$2:$A$40,0)),"—"))</f>
        <v/>
      </c>
      <c r="J18" s="62" t="str">
        <f>IF($C18="","",IFERROR(INDEX(Dusts!$D$2:$D$40,MATCH($C18,Dusts!$A$2:$A$40,0)),"—"))</f>
        <v/>
      </c>
      <c r="K18" s="62" t="str">
        <f>IF($C18="","",IFERROR(INDEX(Dusts!$E$2:$E$40,MATCH($C18,Dusts!$A$2:$A$40,0)),"—"))</f>
        <v/>
      </c>
      <c r="L18" s="66" t="str">
        <f t="shared" si="0"/>
        <v/>
      </c>
      <c r="M18" s="66" t="str">
        <f t="shared" si="1"/>
        <v/>
      </c>
      <c r="N18" s="76" t="str">
        <f t="shared" si="2"/>
        <v/>
      </c>
      <c r="O18" s="76" t="str">
        <f t="shared" si="3"/>
        <v/>
      </c>
      <c r="P18" s="78" t="str">
        <f t="shared" si="4"/>
        <v/>
      </c>
      <c r="Q18" s="79" t="str">
        <f t="shared" si="5"/>
        <v/>
      </c>
      <c r="R18" s="80" t="str">
        <f t="shared" si="6"/>
        <v/>
      </c>
      <c r="S18" s="77" t="str">
        <f t="shared" si="7"/>
        <v/>
      </c>
    </row>
    <row r="19" spans="1:19" ht="18" customHeight="1" x14ac:dyDescent="0.35">
      <c r="A19" s="54"/>
      <c r="B19" s="55"/>
      <c r="C19" s="54"/>
      <c r="D19" s="54"/>
      <c r="E19" s="54"/>
      <c r="F19" s="59"/>
      <c r="G19" s="57"/>
      <c r="H19" s="63" t="str">
        <f>IF($C19="","",IFERROR(INDEX(Dusts!$B$2:$B$40,MATCH($C19,Dusts!$A$2:$A$40,0)),"—"))</f>
        <v/>
      </c>
      <c r="I19" s="62" t="str">
        <f>IF($C19="","",IFERROR(INDEX(Dusts!$C$2:$C$40,MATCH($C19,Dusts!$A$2:$A$40,0)),"—"))</f>
        <v/>
      </c>
      <c r="J19" s="62" t="str">
        <f>IF($C19="","",IFERROR(INDEX(Dusts!$D$2:$D$40,MATCH($C19,Dusts!$A$2:$A$40,0)),"—"))</f>
        <v/>
      </c>
      <c r="K19" s="62" t="str">
        <f>IF($C19="","",IFERROR(INDEX(Dusts!$E$2:$E$40,MATCH($C19,Dusts!$A$2:$A$40,0)),"—"))</f>
        <v/>
      </c>
      <c r="L19" s="66" t="str">
        <f t="shared" si="0"/>
        <v/>
      </c>
      <c r="M19" s="66" t="str">
        <f t="shared" si="1"/>
        <v/>
      </c>
      <c r="N19" s="76" t="str">
        <f t="shared" si="2"/>
        <v/>
      </c>
      <c r="O19" s="76" t="str">
        <f t="shared" si="3"/>
        <v/>
      </c>
      <c r="P19" s="78" t="str">
        <f t="shared" si="4"/>
        <v/>
      </c>
      <c r="Q19" s="79" t="str">
        <f t="shared" si="5"/>
        <v/>
      </c>
      <c r="R19" s="80" t="str">
        <f t="shared" si="6"/>
        <v/>
      </c>
      <c r="S19" s="77" t="str">
        <f t="shared" si="7"/>
        <v/>
      </c>
    </row>
    <row r="20" spans="1:19" ht="18" customHeight="1" x14ac:dyDescent="0.35">
      <c r="A20" s="54"/>
      <c r="B20" s="55"/>
      <c r="C20" s="54"/>
      <c r="D20" s="54"/>
      <c r="E20" s="54"/>
      <c r="F20" s="59"/>
      <c r="G20" s="57"/>
      <c r="H20" s="63" t="str">
        <f>IF($C20="","",IFERROR(INDEX(Dusts!$B$2:$B$40,MATCH($C20,Dusts!$A$2:$A$40,0)),"—"))</f>
        <v/>
      </c>
      <c r="I20" s="62" t="str">
        <f>IF($C20="","",IFERROR(INDEX(Dusts!$C$2:$C$40,MATCH($C20,Dusts!$A$2:$A$40,0)),"—"))</f>
        <v/>
      </c>
      <c r="J20" s="62" t="str">
        <f>IF($C20="","",IFERROR(INDEX(Dusts!$D$2:$D$40,MATCH($C20,Dusts!$A$2:$A$40,0)),"—"))</f>
        <v/>
      </c>
      <c r="K20" s="62" t="str">
        <f>IF($C20="","",IFERROR(INDEX(Dusts!$E$2:$E$40,MATCH($C20,Dusts!$A$2:$A$40,0)),"—"))</f>
        <v/>
      </c>
      <c r="L20" s="66" t="str">
        <f t="shared" si="0"/>
        <v/>
      </c>
      <c r="M20" s="66" t="str">
        <f t="shared" si="1"/>
        <v/>
      </c>
      <c r="N20" s="76" t="str">
        <f t="shared" si="2"/>
        <v/>
      </c>
      <c r="O20" s="76" t="str">
        <f t="shared" si="3"/>
        <v/>
      </c>
      <c r="P20" s="78" t="str">
        <f t="shared" si="4"/>
        <v/>
      </c>
      <c r="Q20" s="79" t="str">
        <f t="shared" si="5"/>
        <v/>
      </c>
      <c r="R20" s="80" t="str">
        <f t="shared" si="6"/>
        <v/>
      </c>
      <c r="S20" s="77" t="str">
        <f t="shared" si="7"/>
        <v/>
      </c>
    </row>
    <row r="21" spans="1:19" ht="18" customHeight="1" x14ac:dyDescent="0.35">
      <c r="A21" s="54"/>
      <c r="B21" s="55"/>
      <c r="C21" s="54"/>
      <c r="D21" s="54"/>
      <c r="E21" s="54"/>
      <c r="F21" s="59"/>
      <c r="G21" s="57"/>
      <c r="H21" s="63" t="str">
        <f>IF($C21="","",IFERROR(INDEX(Dusts!$B$2:$B$40,MATCH($C21,Dusts!$A$2:$A$40,0)),"—"))</f>
        <v/>
      </c>
      <c r="I21" s="62" t="str">
        <f>IF($C21="","",IFERROR(INDEX(Dusts!$C$2:$C$40,MATCH($C21,Dusts!$A$2:$A$40,0)),"—"))</f>
        <v/>
      </c>
      <c r="J21" s="62" t="str">
        <f>IF($C21="","",IFERROR(INDEX(Dusts!$D$2:$D$40,MATCH($C21,Dusts!$A$2:$A$40,0)),"—"))</f>
        <v/>
      </c>
      <c r="K21" s="62" t="str">
        <f>IF($C21="","",IFERROR(INDEX(Dusts!$E$2:$E$40,MATCH($C21,Dusts!$A$2:$A$40,0)),"—"))</f>
        <v/>
      </c>
      <c r="L21" s="66" t="str">
        <f t="shared" si="0"/>
        <v/>
      </c>
      <c r="M21" s="66" t="str">
        <f t="shared" si="1"/>
        <v/>
      </c>
      <c r="N21" s="76" t="str">
        <f t="shared" si="2"/>
        <v/>
      </c>
      <c r="O21" s="76" t="str">
        <f t="shared" si="3"/>
        <v/>
      </c>
      <c r="P21" s="78" t="str">
        <f t="shared" si="4"/>
        <v/>
      </c>
      <c r="Q21" s="79" t="str">
        <f t="shared" si="5"/>
        <v/>
      </c>
      <c r="R21" s="80" t="str">
        <f t="shared" si="6"/>
        <v/>
      </c>
      <c r="S21" s="77" t="str">
        <f t="shared" si="7"/>
        <v/>
      </c>
    </row>
    <row r="22" spans="1:19" ht="18" customHeight="1" x14ac:dyDescent="0.35">
      <c r="A22" s="54"/>
      <c r="B22" s="55"/>
      <c r="C22" s="54"/>
      <c r="D22" s="54"/>
      <c r="E22" s="54"/>
      <c r="F22" s="59"/>
      <c r="G22" s="57"/>
      <c r="H22" s="63" t="str">
        <f>IF($C22="","",IFERROR(INDEX(Dusts!$B$2:$B$40,MATCH($C22,Dusts!$A$2:$A$40,0)),"—"))</f>
        <v/>
      </c>
      <c r="I22" s="62" t="str">
        <f>IF($C22="","",IFERROR(INDEX(Dusts!$C$2:$C$40,MATCH($C22,Dusts!$A$2:$A$40,0)),"—"))</f>
        <v/>
      </c>
      <c r="J22" s="62" t="str">
        <f>IF($C22="","",IFERROR(INDEX(Dusts!$D$2:$D$40,MATCH($C22,Dusts!$A$2:$A$40,0)),"—"))</f>
        <v/>
      </c>
      <c r="K22" s="62" t="str">
        <f>IF($C22="","",IFERROR(INDEX(Dusts!$E$2:$E$40,MATCH($C22,Dusts!$A$2:$A$40,0)),"—"))</f>
        <v/>
      </c>
      <c r="L22" s="66" t="str">
        <f t="shared" si="0"/>
        <v/>
      </c>
      <c r="M22" s="66" t="str">
        <f t="shared" si="1"/>
        <v/>
      </c>
      <c r="N22" s="76" t="str">
        <f t="shared" si="2"/>
        <v/>
      </c>
      <c r="O22" s="76" t="str">
        <f t="shared" si="3"/>
        <v/>
      </c>
      <c r="P22" s="78" t="str">
        <f t="shared" si="4"/>
        <v/>
      </c>
      <c r="Q22" s="79" t="str">
        <f t="shared" si="5"/>
        <v/>
      </c>
      <c r="R22" s="80" t="str">
        <f t="shared" si="6"/>
        <v/>
      </c>
      <c r="S22" s="77" t="str">
        <f t="shared" si="7"/>
        <v/>
      </c>
    </row>
    <row r="23" spans="1:19" ht="18" customHeight="1" x14ac:dyDescent="0.35">
      <c r="A23" s="54"/>
      <c r="B23" s="55"/>
      <c r="C23" s="54"/>
      <c r="D23" s="54"/>
      <c r="E23" s="54"/>
      <c r="F23" s="59"/>
      <c r="G23" s="57"/>
      <c r="H23" s="63" t="str">
        <f>IF($C23="","",IFERROR(INDEX(Dusts!$B$2:$B$40,MATCH($C23,Dusts!$A$2:$A$40,0)),"—"))</f>
        <v/>
      </c>
      <c r="I23" s="62" t="str">
        <f>IF($C23="","",IFERROR(INDEX(Dusts!$C$2:$C$40,MATCH($C23,Dusts!$A$2:$A$40,0)),"—"))</f>
        <v/>
      </c>
      <c r="J23" s="62" t="str">
        <f>IF($C23="","",IFERROR(INDEX(Dusts!$D$2:$D$40,MATCH($C23,Dusts!$A$2:$A$40,0)),"—"))</f>
        <v/>
      </c>
      <c r="K23" s="62" t="str">
        <f>IF($C23="","",IFERROR(INDEX(Dusts!$E$2:$E$40,MATCH($C23,Dusts!$A$2:$A$40,0)),"—"))</f>
        <v/>
      </c>
      <c r="L23" s="66" t="str">
        <f t="shared" si="0"/>
        <v/>
      </c>
      <c r="M23" s="66" t="str">
        <f t="shared" si="1"/>
        <v/>
      </c>
      <c r="N23" s="76" t="str">
        <f t="shared" si="2"/>
        <v/>
      </c>
      <c r="O23" s="76" t="str">
        <f t="shared" si="3"/>
        <v/>
      </c>
      <c r="P23" s="78" t="str">
        <f t="shared" si="4"/>
        <v/>
      </c>
      <c r="Q23" s="79" t="str">
        <f t="shared" si="5"/>
        <v/>
      </c>
      <c r="R23" s="80" t="str">
        <f t="shared" si="6"/>
        <v/>
      </c>
      <c r="S23" s="77" t="str">
        <f t="shared" si="7"/>
        <v/>
      </c>
    </row>
    <row r="24" spans="1:19" ht="18" customHeight="1" x14ac:dyDescent="0.35">
      <c r="A24" s="54"/>
      <c r="B24" s="55"/>
      <c r="C24" s="54"/>
      <c r="D24" s="54"/>
      <c r="E24" s="54"/>
      <c r="F24" s="59"/>
      <c r="G24" s="57"/>
      <c r="H24" s="63" t="str">
        <f>IF($C24="","",IFERROR(INDEX(Dusts!$B$2:$B$40,MATCH($C24,Dusts!$A$2:$A$40,0)),"—"))</f>
        <v/>
      </c>
      <c r="I24" s="62" t="str">
        <f>IF($C24="","",IFERROR(INDEX(Dusts!$C$2:$C$40,MATCH($C24,Dusts!$A$2:$A$40,0)),"—"))</f>
        <v/>
      </c>
      <c r="J24" s="62" t="str">
        <f>IF($C24="","",IFERROR(INDEX(Dusts!$D$2:$D$40,MATCH($C24,Dusts!$A$2:$A$40,0)),"—"))</f>
        <v/>
      </c>
      <c r="K24" s="62" t="str">
        <f>IF($C24="","",IFERROR(INDEX(Dusts!$E$2:$E$40,MATCH($C24,Dusts!$A$2:$A$40,0)),"—"))</f>
        <v/>
      </c>
      <c r="L24" s="66" t="str">
        <f t="shared" si="0"/>
        <v/>
      </c>
      <c r="M24" s="66" t="str">
        <f t="shared" si="1"/>
        <v/>
      </c>
      <c r="N24" s="76" t="str">
        <f t="shared" si="2"/>
        <v/>
      </c>
      <c r="O24" s="76" t="str">
        <f t="shared" si="3"/>
        <v/>
      </c>
      <c r="P24" s="78" t="str">
        <f t="shared" si="4"/>
        <v/>
      </c>
      <c r="Q24" s="79" t="str">
        <f t="shared" si="5"/>
        <v/>
      </c>
      <c r="R24" s="80" t="str">
        <f t="shared" si="6"/>
        <v/>
      </c>
      <c r="S24" s="77" t="str">
        <f t="shared" si="7"/>
        <v/>
      </c>
    </row>
    <row r="25" spans="1:19" ht="18" customHeight="1" x14ac:dyDescent="0.35">
      <c r="A25" s="54"/>
      <c r="B25" s="55"/>
      <c r="C25" s="54"/>
      <c r="D25" s="54"/>
      <c r="E25" s="54"/>
      <c r="F25" s="59"/>
      <c r="G25" s="57"/>
      <c r="H25" s="63" t="str">
        <f>IF($C25="","",IFERROR(INDEX(Dusts!$B$2:$B$40,MATCH($C25,Dusts!$A$2:$A$40,0)),"—"))</f>
        <v/>
      </c>
      <c r="I25" s="62" t="str">
        <f>IF($C25="","",IFERROR(INDEX(Dusts!$C$2:$C$40,MATCH($C25,Dusts!$A$2:$A$40,0)),"—"))</f>
        <v/>
      </c>
      <c r="J25" s="62" t="str">
        <f>IF($C25="","",IFERROR(INDEX(Dusts!$D$2:$D$40,MATCH($C25,Dusts!$A$2:$A$40,0)),"—"))</f>
        <v/>
      </c>
      <c r="K25" s="62" t="str">
        <f>IF($C25="","",IFERROR(INDEX(Dusts!$E$2:$E$40,MATCH($C25,Dusts!$A$2:$A$40,0)),"—"))</f>
        <v/>
      </c>
      <c r="L25" s="66" t="str">
        <f t="shared" si="0"/>
        <v/>
      </c>
      <c r="M25" s="66" t="str">
        <f t="shared" si="1"/>
        <v/>
      </c>
      <c r="N25" s="76" t="str">
        <f t="shared" si="2"/>
        <v/>
      </c>
      <c r="O25" s="76" t="str">
        <f t="shared" si="3"/>
        <v/>
      </c>
      <c r="P25" s="78" t="str">
        <f t="shared" si="4"/>
        <v/>
      </c>
      <c r="Q25" s="79" t="str">
        <f t="shared" si="5"/>
        <v/>
      </c>
      <c r="R25" s="80" t="str">
        <f t="shared" si="6"/>
        <v/>
      </c>
      <c r="S25" s="77" t="str">
        <f t="shared" si="7"/>
        <v/>
      </c>
    </row>
    <row r="26" spans="1:19" ht="18" customHeight="1" x14ac:dyDescent="0.35">
      <c r="A26" s="54"/>
      <c r="B26" s="55"/>
      <c r="C26" s="54"/>
      <c r="D26" s="54"/>
      <c r="E26" s="54"/>
      <c r="F26" s="59"/>
      <c r="G26" s="57"/>
      <c r="H26" s="63" t="str">
        <f>IF($C26="","",IFERROR(INDEX(Dusts!$B$2:$B$40,MATCH($C26,Dusts!$A$2:$A$40,0)),"—"))</f>
        <v/>
      </c>
      <c r="I26" s="62" t="str">
        <f>IF($C26="","",IFERROR(INDEX(Dusts!$C$2:$C$40,MATCH($C26,Dusts!$A$2:$A$40,0)),"—"))</f>
        <v/>
      </c>
      <c r="J26" s="62" t="str">
        <f>IF($C26="","",IFERROR(INDEX(Dusts!$D$2:$D$40,MATCH($C26,Dusts!$A$2:$A$40,0)),"—"))</f>
        <v/>
      </c>
      <c r="K26" s="62" t="str">
        <f>IF($C26="","",IFERROR(INDEX(Dusts!$E$2:$E$40,MATCH($C26,Dusts!$A$2:$A$40,0)),"—"))</f>
        <v/>
      </c>
      <c r="L26" s="66" t="str">
        <f t="shared" si="0"/>
        <v/>
      </c>
      <c r="M26" s="66" t="str">
        <f t="shared" si="1"/>
        <v/>
      </c>
      <c r="N26" s="76" t="str">
        <f t="shared" si="2"/>
        <v/>
      </c>
      <c r="O26" s="76" t="str">
        <f t="shared" si="3"/>
        <v/>
      </c>
      <c r="P26" s="78" t="str">
        <f t="shared" si="4"/>
        <v/>
      </c>
      <c r="Q26" s="79" t="str">
        <f t="shared" si="5"/>
        <v/>
      </c>
      <c r="R26" s="80" t="str">
        <f t="shared" si="6"/>
        <v/>
      </c>
      <c r="S26" s="77" t="str">
        <f t="shared" si="7"/>
        <v/>
      </c>
    </row>
    <row r="27" spans="1:19" ht="18" customHeight="1" x14ac:dyDescent="0.35">
      <c r="A27" s="54"/>
      <c r="B27" s="55"/>
      <c r="C27" s="54"/>
      <c r="D27" s="54"/>
      <c r="E27" s="54"/>
      <c r="F27" s="59"/>
      <c r="G27" s="57"/>
      <c r="H27" s="63" t="str">
        <f>IF($C27="","",IFERROR(INDEX(Dusts!$B$2:$B$40,MATCH($C27,Dusts!$A$2:$A$40,0)),"—"))</f>
        <v/>
      </c>
      <c r="I27" s="62" t="str">
        <f>IF($C27="","",IFERROR(INDEX(Dusts!$C$2:$C$40,MATCH($C27,Dusts!$A$2:$A$40,0)),"—"))</f>
        <v/>
      </c>
      <c r="J27" s="62" t="str">
        <f>IF($C27="","",IFERROR(INDEX(Dusts!$D$2:$D$40,MATCH($C27,Dusts!$A$2:$A$40,0)),"—"))</f>
        <v/>
      </c>
      <c r="K27" s="62" t="str">
        <f>IF($C27="","",IFERROR(INDEX(Dusts!$E$2:$E$40,MATCH($C27,Dusts!$A$2:$A$40,0)),"—"))</f>
        <v/>
      </c>
      <c r="L27" s="66" t="str">
        <f t="shared" si="0"/>
        <v/>
      </c>
      <c r="M27" s="66" t="str">
        <f t="shared" si="1"/>
        <v/>
      </c>
      <c r="N27" s="76" t="str">
        <f t="shared" si="2"/>
        <v/>
      </c>
      <c r="O27" s="76" t="str">
        <f t="shared" si="3"/>
        <v/>
      </c>
      <c r="P27" s="78" t="str">
        <f t="shared" si="4"/>
        <v/>
      </c>
      <c r="Q27" s="79" t="str">
        <f t="shared" si="5"/>
        <v/>
      </c>
      <c r="R27" s="80" t="str">
        <f t="shared" si="6"/>
        <v/>
      </c>
      <c r="S27" s="77" t="str">
        <f t="shared" si="7"/>
        <v/>
      </c>
    </row>
    <row r="28" spans="1:19" ht="18" customHeight="1" x14ac:dyDescent="0.35">
      <c r="A28" s="54"/>
      <c r="B28" s="55"/>
      <c r="C28" s="54"/>
      <c r="D28" s="54"/>
      <c r="E28" s="54"/>
      <c r="F28" s="59"/>
      <c r="G28" s="57"/>
      <c r="H28" s="63" t="str">
        <f>IF($C28="","",IFERROR(INDEX(Dusts!$B$2:$B$40,MATCH($C28,Dusts!$A$2:$A$40,0)),"—"))</f>
        <v/>
      </c>
      <c r="I28" s="62" t="str">
        <f>IF($C28="","",IFERROR(INDEX(Dusts!$C$2:$C$40,MATCH($C28,Dusts!$A$2:$A$40,0)),"—"))</f>
        <v/>
      </c>
      <c r="J28" s="62" t="str">
        <f>IF($C28="","",IFERROR(INDEX(Dusts!$D$2:$D$40,MATCH($C28,Dusts!$A$2:$A$40,0)),"—"))</f>
        <v/>
      </c>
      <c r="K28" s="62" t="str">
        <f>IF($C28="","",IFERROR(INDEX(Dusts!$E$2:$E$40,MATCH($C28,Dusts!$A$2:$A$40,0)),"—"))</f>
        <v/>
      </c>
      <c r="L28" s="66" t="str">
        <f t="shared" si="0"/>
        <v/>
      </c>
      <c r="M28" s="66" t="str">
        <f t="shared" si="1"/>
        <v/>
      </c>
      <c r="N28" s="76" t="str">
        <f t="shared" si="2"/>
        <v/>
      </c>
      <c r="O28" s="76" t="str">
        <f t="shared" si="3"/>
        <v/>
      </c>
      <c r="P28" s="78" t="str">
        <f t="shared" si="4"/>
        <v/>
      </c>
      <c r="Q28" s="79" t="str">
        <f t="shared" si="5"/>
        <v/>
      </c>
      <c r="R28" s="80" t="str">
        <f t="shared" si="6"/>
        <v/>
      </c>
      <c r="S28" s="77" t="str">
        <f t="shared" si="7"/>
        <v/>
      </c>
    </row>
    <row r="29" spans="1:19" ht="18" customHeight="1" x14ac:dyDescent="0.35">
      <c r="A29" s="54"/>
      <c r="B29" s="55"/>
      <c r="C29" s="54"/>
      <c r="D29" s="54"/>
      <c r="E29" s="54"/>
      <c r="F29" s="59"/>
      <c r="G29" s="57"/>
      <c r="H29" s="63" t="str">
        <f>IF($C29="","",IFERROR(INDEX(Dusts!$B$2:$B$40,MATCH($C29,Dusts!$A$2:$A$40,0)),"—"))</f>
        <v/>
      </c>
      <c r="I29" s="62" t="str">
        <f>IF($C29="","",IFERROR(INDEX(Dusts!$C$2:$C$40,MATCH($C29,Dusts!$A$2:$A$40,0)),"—"))</f>
        <v/>
      </c>
      <c r="J29" s="62" t="str">
        <f>IF($C29="","",IFERROR(INDEX(Dusts!$D$2:$D$40,MATCH($C29,Dusts!$A$2:$A$40,0)),"—"))</f>
        <v/>
      </c>
      <c r="K29" s="62" t="str">
        <f>IF($C29="","",IFERROR(INDEX(Dusts!$E$2:$E$40,MATCH($C29,Dusts!$A$2:$A$40,0)),"—"))</f>
        <v/>
      </c>
      <c r="L29" s="66" t="str">
        <f t="shared" si="0"/>
        <v/>
      </c>
      <c r="M29" s="66" t="str">
        <f t="shared" si="1"/>
        <v/>
      </c>
      <c r="N29" s="76" t="str">
        <f t="shared" si="2"/>
        <v/>
      </c>
      <c r="O29" s="76" t="str">
        <f t="shared" si="3"/>
        <v/>
      </c>
      <c r="P29" s="78" t="str">
        <f t="shared" si="4"/>
        <v/>
      </c>
      <c r="Q29" s="79" t="str">
        <f t="shared" si="5"/>
        <v/>
      </c>
      <c r="R29" s="80" t="str">
        <f t="shared" si="6"/>
        <v/>
      </c>
      <c r="S29" s="77" t="str">
        <f t="shared" si="7"/>
        <v/>
      </c>
    </row>
    <row r="30" spans="1:19" ht="18" customHeight="1" x14ac:dyDescent="0.35">
      <c r="A30" s="54"/>
      <c r="B30" s="55"/>
      <c r="C30" s="54"/>
      <c r="D30" s="54"/>
      <c r="E30" s="54"/>
      <c r="F30" s="59"/>
      <c r="G30" s="57"/>
      <c r="H30" s="63" t="str">
        <f>IF($C30="","",IFERROR(INDEX(Dusts!$B$2:$B$40,MATCH($C30,Dusts!$A$2:$A$40,0)),"—"))</f>
        <v/>
      </c>
      <c r="I30" s="62" t="str">
        <f>IF($C30="","",IFERROR(INDEX(Dusts!$C$2:$C$40,MATCH($C30,Dusts!$A$2:$A$40,0)),"—"))</f>
        <v/>
      </c>
      <c r="J30" s="62" t="str">
        <f>IF($C30="","",IFERROR(INDEX(Dusts!$D$2:$D$40,MATCH($C30,Dusts!$A$2:$A$40,0)),"—"))</f>
        <v/>
      </c>
      <c r="K30" s="62" t="str">
        <f>IF($C30="","",IFERROR(INDEX(Dusts!$E$2:$E$40,MATCH($C30,Dusts!$A$2:$A$40,0)),"—"))</f>
        <v/>
      </c>
      <c r="L30" s="66" t="str">
        <f t="shared" si="0"/>
        <v/>
      </c>
      <c r="M30" s="66" t="str">
        <f t="shared" si="1"/>
        <v/>
      </c>
      <c r="N30" s="76" t="str">
        <f t="shared" si="2"/>
        <v/>
      </c>
      <c r="O30" s="76" t="str">
        <f t="shared" si="3"/>
        <v/>
      </c>
      <c r="P30" s="78" t="str">
        <f t="shared" si="4"/>
        <v/>
      </c>
      <c r="Q30" s="79" t="str">
        <f t="shared" si="5"/>
        <v/>
      </c>
      <c r="R30" s="80" t="str">
        <f t="shared" si="6"/>
        <v/>
      </c>
      <c r="S30" s="77" t="str">
        <f t="shared" si="7"/>
        <v/>
      </c>
    </row>
    <row r="31" spans="1:19" ht="18" customHeight="1" x14ac:dyDescent="0.35">
      <c r="A31" s="54"/>
      <c r="B31" s="55"/>
      <c r="C31" s="54"/>
      <c r="D31" s="54"/>
      <c r="E31" s="54"/>
      <c r="F31" s="59"/>
      <c r="G31" s="57"/>
      <c r="H31" s="63" t="str">
        <f>IF($C31="","",IFERROR(INDEX(Dusts!$B$2:$B$40,MATCH($C31,Dusts!$A$2:$A$40,0)),"—"))</f>
        <v/>
      </c>
      <c r="I31" s="62" t="str">
        <f>IF($C31="","",IFERROR(INDEX(Dusts!$C$2:$C$40,MATCH($C31,Dusts!$A$2:$A$40,0)),"—"))</f>
        <v/>
      </c>
      <c r="J31" s="62" t="str">
        <f>IF($C31="","",IFERROR(INDEX(Dusts!$D$2:$D$40,MATCH($C31,Dusts!$A$2:$A$40,0)),"—"))</f>
        <v/>
      </c>
      <c r="K31" s="62" t="str">
        <f>IF($C31="","",IFERROR(INDEX(Dusts!$E$2:$E$40,MATCH($C31,Dusts!$A$2:$A$40,0)),"—"))</f>
        <v/>
      </c>
      <c r="L31" s="66" t="str">
        <f t="shared" si="0"/>
        <v/>
      </c>
      <c r="M31" s="66" t="str">
        <f t="shared" si="1"/>
        <v/>
      </c>
      <c r="N31" s="76" t="str">
        <f t="shared" si="2"/>
        <v/>
      </c>
      <c r="O31" s="76" t="str">
        <f t="shared" si="3"/>
        <v/>
      </c>
      <c r="P31" s="78" t="str">
        <f t="shared" si="4"/>
        <v/>
      </c>
      <c r="Q31" s="79" t="str">
        <f t="shared" si="5"/>
        <v/>
      </c>
      <c r="R31" s="80" t="str">
        <f t="shared" si="6"/>
        <v/>
      </c>
      <c r="S31" s="77" t="str">
        <f t="shared" si="7"/>
        <v/>
      </c>
    </row>
    <row r="32" spans="1:19" ht="18" customHeight="1" x14ac:dyDescent="0.35">
      <c r="A32" s="54"/>
      <c r="B32" s="55"/>
      <c r="C32" s="54"/>
      <c r="D32" s="54"/>
      <c r="E32" s="54"/>
      <c r="F32" s="59"/>
      <c r="G32" s="57"/>
      <c r="H32" s="63" t="str">
        <f>IF($C32="","",IFERROR(INDEX(Dusts!$B$2:$B$40,MATCH($C32,Dusts!$A$2:$A$40,0)),"—"))</f>
        <v/>
      </c>
      <c r="I32" s="62" t="str">
        <f>IF($C32="","",IFERROR(INDEX(Dusts!$C$2:$C$40,MATCH($C32,Dusts!$A$2:$A$40,0)),"—"))</f>
        <v/>
      </c>
      <c r="J32" s="62" t="str">
        <f>IF($C32="","",IFERROR(INDEX(Dusts!$D$2:$D$40,MATCH($C32,Dusts!$A$2:$A$40,0)),"—"))</f>
        <v/>
      </c>
      <c r="K32" s="62" t="str">
        <f>IF($C32="","",IFERROR(INDEX(Dusts!$E$2:$E$40,MATCH($C32,Dusts!$A$2:$A$40,0)),"—"))</f>
        <v/>
      </c>
      <c r="L32" s="66" t="str">
        <f t="shared" si="0"/>
        <v/>
      </c>
      <c r="M32" s="66" t="str">
        <f t="shared" si="1"/>
        <v/>
      </c>
      <c r="N32" s="76" t="str">
        <f t="shared" si="2"/>
        <v/>
      </c>
      <c r="O32" s="76" t="str">
        <f t="shared" si="3"/>
        <v/>
      </c>
      <c r="P32" s="78" t="str">
        <f t="shared" si="4"/>
        <v/>
      </c>
      <c r="Q32" s="79" t="str">
        <f t="shared" si="5"/>
        <v/>
      </c>
      <c r="R32" s="80" t="str">
        <f t="shared" si="6"/>
        <v/>
      </c>
      <c r="S32" s="77" t="str">
        <f t="shared" si="7"/>
        <v/>
      </c>
    </row>
    <row r="33" spans="1:19" ht="18" customHeight="1" x14ac:dyDescent="0.35">
      <c r="A33" s="54"/>
      <c r="B33" s="55"/>
      <c r="C33" s="54"/>
      <c r="D33" s="54"/>
      <c r="E33" s="54"/>
      <c r="F33" s="59"/>
      <c r="G33" s="57"/>
      <c r="H33" s="63" t="str">
        <f>IF($C33="","",IFERROR(INDEX(Dusts!$B$2:$B$40,MATCH($C33,Dusts!$A$2:$A$40,0)),"—"))</f>
        <v/>
      </c>
      <c r="I33" s="62" t="str">
        <f>IF($C33="","",IFERROR(INDEX(Dusts!$C$2:$C$40,MATCH($C33,Dusts!$A$2:$A$40,0)),"—"))</f>
        <v/>
      </c>
      <c r="J33" s="62" t="str">
        <f>IF($C33="","",IFERROR(INDEX(Dusts!$D$2:$D$40,MATCH($C33,Dusts!$A$2:$A$40,0)),"—"))</f>
        <v/>
      </c>
      <c r="K33" s="62" t="str">
        <f>IF($C33="","",IFERROR(INDEX(Dusts!$E$2:$E$40,MATCH($C33,Dusts!$A$2:$A$40,0)),"—"))</f>
        <v/>
      </c>
      <c r="L33" s="66" t="str">
        <f t="shared" si="0"/>
        <v/>
      </c>
      <c r="M33" s="66" t="str">
        <f t="shared" si="1"/>
        <v/>
      </c>
      <c r="N33" s="76" t="str">
        <f t="shared" si="2"/>
        <v/>
      </c>
      <c r="O33" s="76" t="str">
        <f t="shared" si="3"/>
        <v/>
      </c>
      <c r="P33" s="78" t="str">
        <f t="shared" si="4"/>
        <v/>
      </c>
      <c r="Q33" s="79" t="str">
        <f t="shared" si="5"/>
        <v/>
      </c>
      <c r="R33" s="80" t="str">
        <f t="shared" si="6"/>
        <v/>
      </c>
      <c r="S33" s="77" t="str">
        <f t="shared" si="7"/>
        <v/>
      </c>
    </row>
    <row r="34" spans="1:19" ht="18" customHeight="1" x14ac:dyDescent="0.35">
      <c r="A34" s="54"/>
      <c r="B34" s="55"/>
      <c r="C34" s="54"/>
      <c r="D34" s="54"/>
      <c r="E34" s="54"/>
      <c r="F34" s="59"/>
      <c r="G34" s="57"/>
      <c r="H34" s="63" t="str">
        <f>IF($C34="","",IFERROR(INDEX(Dusts!$B$2:$B$40,MATCH($C34,Dusts!$A$2:$A$40,0)),"—"))</f>
        <v/>
      </c>
      <c r="I34" s="62" t="str">
        <f>IF($C34="","",IFERROR(INDEX(Dusts!$C$2:$C$40,MATCH($C34,Dusts!$A$2:$A$40,0)),"—"))</f>
        <v/>
      </c>
      <c r="J34" s="62" t="str">
        <f>IF($C34="","",IFERROR(INDEX(Dusts!$D$2:$D$40,MATCH($C34,Dusts!$A$2:$A$40,0)),"—"))</f>
        <v/>
      </c>
      <c r="K34" s="62" t="str">
        <f>IF($C34="","",IFERROR(INDEX(Dusts!$E$2:$E$40,MATCH($C34,Dusts!$A$2:$A$40,0)),"—"))</f>
        <v/>
      </c>
      <c r="L34" s="66" t="str">
        <f t="shared" si="0"/>
        <v/>
      </c>
      <c r="M34" s="66" t="str">
        <f t="shared" si="1"/>
        <v/>
      </c>
      <c r="N34" s="76" t="str">
        <f t="shared" si="2"/>
        <v/>
      </c>
      <c r="O34" s="76" t="str">
        <f t="shared" si="3"/>
        <v/>
      </c>
      <c r="P34" s="78" t="str">
        <f t="shared" si="4"/>
        <v/>
      </c>
      <c r="Q34" s="79" t="str">
        <f t="shared" si="5"/>
        <v/>
      </c>
      <c r="R34" s="80" t="str">
        <f t="shared" si="6"/>
        <v/>
      </c>
      <c r="S34" s="77" t="str">
        <f t="shared" si="7"/>
        <v/>
      </c>
    </row>
    <row r="35" spans="1:19" ht="18" customHeight="1" x14ac:dyDescent="0.35">
      <c r="A35" s="54"/>
      <c r="B35" s="55"/>
      <c r="C35" s="54"/>
      <c r="D35" s="54"/>
      <c r="E35" s="54"/>
      <c r="F35" s="59"/>
      <c r="G35" s="57"/>
      <c r="H35" s="63" t="str">
        <f>IF($C35="","",IFERROR(INDEX(Dusts!$B$2:$B$40,MATCH($C35,Dusts!$A$2:$A$40,0)),"—"))</f>
        <v/>
      </c>
      <c r="I35" s="62" t="str">
        <f>IF($C35="","",IFERROR(INDEX(Dusts!$C$2:$C$40,MATCH($C35,Dusts!$A$2:$A$40,0)),"—"))</f>
        <v/>
      </c>
      <c r="J35" s="62" t="str">
        <f>IF($C35="","",IFERROR(INDEX(Dusts!$D$2:$D$40,MATCH($C35,Dusts!$A$2:$A$40,0)),"—"))</f>
        <v/>
      </c>
      <c r="K35" s="62" t="str">
        <f>IF($C35="","",IFERROR(INDEX(Dusts!$E$2:$E$40,MATCH($C35,Dusts!$A$2:$A$40,0)),"—"))</f>
        <v/>
      </c>
      <c r="L35" s="66" t="str">
        <f t="shared" si="0"/>
        <v/>
      </c>
      <c r="M35" s="66" t="str">
        <f t="shared" si="1"/>
        <v/>
      </c>
      <c r="N35" s="76" t="str">
        <f t="shared" si="2"/>
        <v/>
      </c>
      <c r="O35" s="76" t="str">
        <f t="shared" si="3"/>
        <v/>
      </c>
      <c r="P35" s="78" t="str">
        <f t="shared" si="4"/>
        <v/>
      </c>
      <c r="Q35" s="79" t="str">
        <f t="shared" si="5"/>
        <v/>
      </c>
      <c r="R35" s="80" t="str">
        <f t="shared" si="6"/>
        <v/>
      </c>
      <c r="S35" s="77" t="str">
        <f t="shared" si="7"/>
        <v/>
      </c>
    </row>
    <row r="36" spans="1:19" ht="18" customHeight="1" x14ac:dyDescent="0.35">
      <c r="A36" s="54"/>
      <c r="B36" s="55"/>
      <c r="C36" s="54"/>
      <c r="D36" s="54"/>
      <c r="E36" s="54"/>
      <c r="F36" s="59"/>
      <c r="G36" s="57"/>
      <c r="H36" s="63" t="str">
        <f>IF($C36="","",IFERROR(INDEX(Dusts!$B$2:$B$40,MATCH($C36,Dusts!$A$2:$A$40,0)),"—"))</f>
        <v/>
      </c>
      <c r="I36" s="62" t="str">
        <f>IF($C36="","",IFERROR(INDEX(Dusts!$C$2:$C$40,MATCH($C36,Dusts!$A$2:$A$40,0)),"—"))</f>
        <v/>
      </c>
      <c r="J36" s="62" t="str">
        <f>IF($C36="","",IFERROR(INDEX(Dusts!$D$2:$D$40,MATCH($C36,Dusts!$A$2:$A$40,0)),"—"))</f>
        <v/>
      </c>
      <c r="K36" s="62" t="str">
        <f>IF($C36="","",IFERROR(INDEX(Dusts!$E$2:$E$40,MATCH($C36,Dusts!$A$2:$A$40,0)),"—"))</f>
        <v/>
      </c>
      <c r="L36" s="66" t="str">
        <f t="shared" si="0"/>
        <v/>
      </c>
      <c r="M36" s="66" t="str">
        <f t="shared" si="1"/>
        <v/>
      </c>
      <c r="N36" s="76" t="str">
        <f t="shared" si="2"/>
        <v/>
      </c>
      <c r="O36" s="76" t="str">
        <f t="shared" si="3"/>
        <v/>
      </c>
      <c r="P36" s="78" t="str">
        <f t="shared" si="4"/>
        <v/>
      </c>
      <c r="Q36" s="79" t="str">
        <f t="shared" si="5"/>
        <v/>
      </c>
      <c r="R36" s="80" t="str">
        <f t="shared" si="6"/>
        <v/>
      </c>
      <c r="S36" s="77" t="str">
        <f t="shared" si="7"/>
        <v/>
      </c>
    </row>
    <row r="37" spans="1:19" ht="18" customHeight="1" x14ac:dyDescent="0.35">
      <c r="A37" s="54"/>
      <c r="B37" s="55"/>
      <c r="C37" s="54"/>
      <c r="D37" s="54"/>
      <c r="E37" s="54"/>
      <c r="F37" s="59"/>
      <c r="G37" s="57"/>
      <c r="H37" s="63" t="str">
        <f>IF($C37="","",IFERROR(INDEX(Dusts!$B$2:$B$40,MATCH($C37,Dusts!$A$2:$A$40,0)),"—"))</f>
        <v/>
      </c>
      <c r="I37" s="62" t="str">
        <f>IF($C37="","",IFERROR(INDEX(Dusts!$C$2:$C$40,MATCH($C37,Dusts!$A$2:$A$40,0)),"—"))</f>
        <v/>
      </c>
      <c r="J37" s="62" t="str">
        <f>IF($C37="","",IFERROR(INDEX(Dusts!$D$2:$D$40,MATCH($C37,Dusts!$A$2:$A$40,0)),"—"))</f>
        <v/>
      </c>
      <c r="K37" s="62" t="str">
        <f>IF($C37="","",IFERROR(INDEX(Dusts!$E$2:$E$40,MATCH($C37,Dusts!$A$2:$A$40,0)),"—"))</f>
        <v/>
      </c>
      <c r="L37" s="66" t="str">
        <f t="shared" si="0"/>
        <v/>
      </c>
      <c r="M37" s="66" t="str">
        <f t="shared" si="1"/>
        <v/>
      </c>
      <c r="N37" s="76" t="str">
        <f t="shared" si="2"/>
        <v/>
      </c>
      <c r="O37" s="76" t="str">
        <f t="shared" si="3"/>
        <v/>
      </c>
      <c r="P37" s="78" t="str">
        <f t="shared" si="4"/>
        <v/>
      </c>
      <c r="Q37" s="79" t="str">
        <f t="shared" si="5"/>
        <v/>
      </c>
      <c r="R37" s="80" t="str">
        <f t="shared" si="6"/>
        <v/>
      </c>
      <c r="S37" s="77" t="str">
        <f t="shared" si="7"/>
        <v/>
      </c>
    </row>
    <row r="38" spans="1:19" ht="18" customHeight="1" x14ac:dyDescent="0.35">
      <c r="A38" s="54"/>
      <c r="B38" s="55"/>
      <c r="C38" s="54"/>
      <c r="D38" s="54"/>
      <c r="E38" s="54"/>
      <c r="F38" s="59"/>
      <c r="G38" s="57"/>
      <c r="H38" s="63" t="str">
        <f>IF($C38="","",IFERROR(INDEX(Dusts!$B$2:$B$40,MATCH($C38,Dusts!$A$2:$A$40,0)),"—"))</f>
        <v/>
      </c>
      <c r="I38" s="62" t="str">
        <f>IF($C38="","",IFERROR(INDEX(Dusts!$C$2:$C$40,MATCH($C38,Dusts!$A$2:$A$40,0)),"—"))</f>
        <v/>
      </c>
      <c r="J38" s="62" t="str">
        <f>IF($C38="","",IFERROR(INDEX(Dusts!$D$2:$D$40,MATCH($C38,Dusts!$A$2:$A$40,0)),"—"))</f>
        <v/>
      </c>
      <c r="K38" s="62" t="str">
        <f>IF($C38="","",IFERROR(INDEX(Dusts!$E$2:$E$40,MATCH($C38,Dusts!$A$2:$A$40,0)),"—"))</f>
        <v/>
      </c>
      <c r="L38" s="66" t="str">
        <f t="shared" si="0"/>
        <v/>
      </c>
      <c r="M38" s="66" t="str">
        <f t="shared" si="1"/>
        <v/>
      </c>
      <c r="N38" s="76" t="str">
        <f t="shared" si="2"/>
        <v/>
      </c>
      <c r="O38" s="76" t="str">
        <f t="shared" si="3"/>
        <v/>
      </c>
      <c r="P38" s="78" t="str">
        <f t="shared" si="4"/>
        <v/>
      </c>
      <c r="Q38" s="79" t="str">
        <f t="shared" si="5"/>
        <v/>
      </c>
      <c r="R38" s="80" t="str">
        <f t="shared" si="6"/>
        <v/>
      </c>
      <c r="S38" s="77" t="str">
        <f t="shared" si="7"/>
        <v/>
      </c>
    </row>
    <row r="39" spans="1:19" ht="18" customHeight="1" x14ac:dyDescent="0.35">
      <c r="A39" s="54"/>
      <c r="B39" s="55"/>
      <c r="C39" s="54"/>
      <c r="D39" s="54"/>
      <c r="E39" s="54"/>
      <c r="F39" s="59"/>
      <c r="G39" s="57"/>
      <c r="H39" s="63" t="str">
        <f>IF($C39="","",IFERROR(INDEX(Dusts!$B$2:$B$40,MATCH($C39,Dusts!$A$2:$A$40,0)),"—"))</f>
        <v/>
      </c>
      <c r="I39" s="62" t="str">
        <f>IF($C39="","",IFERROR(INDEX(Dusts!$C$2:$C$40,MATCH($C39,Dusts!$A$2:$A$40,0)),"—"))</f>
        <v/>
      </c>
      <c r="J39" s="62" t="str">
        <f>IF($C39="","",IFERROR(INDEX(Dusts!$D$2:$D$40,MATCH($C39,Dusts!$A$2:$A$40,0)),"—"))</f>
        <v/>
      </c>
      <c r="K39" s="62" t="str">
        <f>IF($C39="","",IFERROR(INDEX(Dusts!$E$2:$E$40,MATCH($C39,Dusts!$A$2:$A$40,0)),"—"))</f>
        <v/>
      </c>
      <c r="L39" s="66" t="str">
        <f t="shared" si="0"/>
        <v/>
      </c>
      <c r="M39" s="66" t="str">
        <f t="shared" si="1"/>
        <v/>
      </c>
      <c r="N39" s="76" t="str">
        <f t="shared" si="2"/>
        <v/>
      </c>
      <c r="O39" s="76" t="str">
        <f t="shared" si="3"/>
        <v/>
      </c>
      <c r="P39" s="78" t="str">
        <f t="shared" si="4"/>
        <v/>
      </c>
      <c r="Q39" s="79" t="str">
        <f t="shared" si="5"/>
        <v/>
      </c>
      <c r="R39" s="80" t="str">
        <f t="shared" si="6"/>
        <v/>
      </c>
      <c r="S39" s="77" t="str">
        <f t="shared" si="7"/>
        <v/>
      </c>
    </row>
    <row r="40" spans="1:19" ht="18" customHeight="1" x14ac:dyDescent="0.35">
      <c r="A40" s="54"/>
      <c r="B40" s="55"/>
      <c r="C40" s="54"/>
      <c r="D40" s="54"/>
      <c r="E40" s="54"/>
      <c r="F40" s="59"/>
      <c r="G40" s="57"/>
      <c r="H40" s="63" t="str">
        <f>IF($C40="","",IFERROR(INDEX(Dusts!$B$2:$B$40,MATCH($C40,Dusts!$A$2:$A$40,0)),"—"))</f>
        <v/>
      </c>
      <c r="I40" s="62" t="str">
        <f>IF($C40="","",IFERROR(INDEX(Dusts!$C$2:$C$40,MATCH($C40,Dusts!$A$2:$A$40,0)),"—"))</f>
        <v/>
      </c>
      <c r="J40" s="62" t="str">
        <f>IF($C40="","",IFERROR(INDEX(Dusts!$D$2:$D$40,MATCH($C40,Dusts!$A$2:$A$40,0)),"—"))</f>
        <v/>
      </c>
      <c r="K40" s="62" t="str">
        <f>IF($C40="","",IFERROR(INDEX(Dusts!$E$2:$E$40,MATCH($C40,Dusts!$A$2:$A$40,0)),"—"))</f>
        <v/>
      </c>
      <c r="L40" s="66" t="str">
        <f t="shared" si="0"/>
        <v/>
      </c>
      <c r="M40" s="66" t="str">
        <f t="shared" si="1"/>
        <v/>
      </c>
      <c r="N40" s="76" t="str">
        <f t="shared" si="2"/>
        <v/>
      </c>
      <c r="O40" s="76" t="str">
        <f t="shared" si="3"/>
        <v/>
      </c>
      <c r="P40" s="78" t="str">
        <f t="shared" si="4"/>
        <v/>
      </c>
      <c r="Q40" s="79" t="str">
        <f t="shared" si="5"/>
        <v/>
      </c>
      <c r="R40" s="80" t="str">
        <f t="shared" si="6"/>
        <v/>
      </c>
      <c r="S40" s="77" t="str">
        <f t="shared" si="7"/>
        <v/>
      </c>
    </row>
    <row r="41" spans="1:19" ht="18" customHeight="1" x14ac:dyDescent="0.35">
      <c r="A41" s="54"/>
      <c r="B41" s="55"/>
      <c r="C41" s="54"/>
      <c r="D41" s="54"/>
      <c r="E41" s="54"/>
      <c r="F41" s="59"/>
      <c r="G41" s="57"/>
      <c r="H41" s="63" t="str">
        <f>IF($C41="","",IFERROR(INDEX(Dusts!$B$2:$B$40,MATCH($C41,Dusts!$A$2:$A$40,0)),"—"))</f>
        <v/>
      </c>
      <c r="I41" s="62" t="str">
        <f>IF($C41="","",IFERROR(INDEX(Dusts!$C$2:$C$40,MATCH($C41,Dusts!$A$2:$A$40,0)),"—"))</f>
        <v/>
      </c>
      <c r="J41" s="62" t="str">
        <f>IF($C41="","",IFERROR(INDEX(Dusts!$D$2:$D$40,MATCH($C41,Dusts!$A$2:$A$40,0)),"—"))</f>
        <v/>
      </c>
      <c r="K41" s="62" t="str">
        <f>IF($C41="","",IFERROR(INDEX(Dusts!$E$2:$E$40,MATCH($C41,Dusts!$A$2:$A$40,0)),"—"))</f>
        <v/>
      </c>
      <c r="L41" s="66" t="str">
        <f t="shared" si="0"/>
        <v/>
      </c>
      <c r="M41" s="66" t="str">
        <f t="shared" si="1"/>
        <v/>
      </c>
      <c r="N41" s="76" t="str">
        <f t="shared" si="2"/>
        <v/>
      </c>
      <c r="O41" s="76" t="str">
        <f t="shared" si="3"/>
        <v/>
      </c>
      <c r="P41" s="78" t="str">
        <f t="shared" si="4"/>
        <v/>
      </c>
      <c r="Q41" s="79" t="str">
        <f t="shared" si="5"/>
        <v/>
      </c>
      <c r="R41" s="80" t="str">
        <f t="shared" si="6"/>
        <v/>
      </c>
      <c r="S41" s="77" t="str">
        <f t="shared" si="7"/>
        <v/>
      </c>
    </row>
    <row r="42" spans="1:19" ht="18" customHeight="1" x14ac:dyDescent="0.35">
      <c r="A42" s="54"/>
      <c r="B42" s="55"/>
      <c r="C42" s="54"/>
      <c r="D42" s="54"/>
      <c r="E42" s="54"/>
      <c r="F42" s="59"/>
      <c r="G42" s="57"/>
      <c r="H42" s="63" t="str">
        <f>IF($C42="","",IFERROR(INDEX(Dusts!$B$2:$B$40,MATCH($C42,Dusts!$A$2:$A$40,0)),"—"))</f>
        <v/>
      </c>
      <c r="I42" s="62" t="str">
        <f>IF($C42="","",IFERROR(INDEX(Dusts!$C$2:$C$40,MATCH($C42,Dusts!$A$2:$A$40,0)),"—"))</f>
        <v/>
      </c>
      <c r="J42" s="62" t="str">
        <f>IF($C42="","",IFERROR(INDEX(Dusts!$D$2:$D$40,MATCH($C42,Dusts!$A$2:$A$40,0)),"—"))</f>
        <v/>
      </c>
      <c r="K42" s="62" t="str">
        <f>IF($C42="","",IFERROR(INDEX(Dusts!$E$2:$E$40,MATCH($C42,Dusts!$A$2:$A$40,0)),"—"))</f>
        <v/>
      </c>
      <c r="L42" s="66" t="str">
        <f t="shared" si="0"/>
        <v/>
      </c>
      <c r="M42" s="66" t="str">
        <f t="shared" si="1"/>
        <v/>
      </c>
      <c r="N42" s="76" t="str">
        <f t="shared" si="2"/>
        <v/>
      </c>
      <c r="O42" s="76" t="str">
        <f t="shared" si="3"/>
        <v/>
      </c>
      <c r="P42" s="78" t="str">
        <f t="shared" si="4"/>
        <v/>
      </c>
      <c r="Q42" s="79" t="str">
        <f t="shared" si="5"/>
        <v/>
      </c>
      <c r="R42" s="80" t="str">
        <f t="shared" si="6"/>
        <v/>
      </c>
      <c r="S42" s="77" t="str">
        <f t="shared" si="7"/>
        <v/>
      </c>
    </row>
    <row r="43" spans="1:19" ht="18" customHeight="1" x14ac:dyDescent="0.35">
      <c r="A43" s="54"/>
      <c r="B43" s="55"/>
      <c r="C43" s="54"/>
      <c r="D43" s="54"/>
      <c r="E43" s="54"/>
      <c r="F43" s="59"/>
      <c r="G43" s="57"/>
      <c r="H43" s="63" t="str">
        <f>IF($C43="","",IFERROR(INDEX(Dusts!$B$2:$B$40,MATCH($C43,Dusts!$A$2:$A$40,0)),"—"))</f>
        <v/>
      </c>
      <c r="I43" s="62" t="str">
        <f>IF($C43="","",IFERROR(INDEX(Dusts!$C$2:$C$40,MATCH($C43,Dusts!$A$2:$A$40,0)),"—"))</f>
        <v/>
      </c>
      <c r="J43" s="62" t="str">
        <f>IF($C43="","",IFERROR(INDEX(Dusts!$D$2:$D$40,MATCH($C43,Dusts!$A$2:$A$40,0)),"—"))</f>
        <v/>
      </c>
      <c r="K43" s="62" t="str">
        <f>IF($C43="","",IFERROR(INDEX(Dusts!$E$2:$E$40,MATCH($C43,Dusts!$A$2:$A$40,0)),"—"))</f>
        <v/>
      </c>
      <c r="L43" s="66" t="str">
        <f t="shared" si="0"/>
        <v/>
      </c>
      <c r="M43" s="66" t="str">
        <f t="shared" si="1"/>
        <v/>
      </c>
      <c r="N43" s="76" t="str">
        <f t="shared" si="2"/>
        <v/>
      </c>
      <c r="O43" s="76" t="str">
        <f t="shared" si="3"/>
        <v/>
      </c>
      <c r="P43" s="78" t="str">
        <f t="shared" si="4"/>
        <v/>
      </c>
      <c r="Q43" s="79" t="str">
        <f t="shared" si="5"/>
        <v/>
      </c>
      <c r="R43" s="80" t="str">
        <f t="shared" si="6"/>
        <v/>
      </c>
      <c r="S43" s="77" t="str">
        <f t="shared" si="7"/>
        <v/>
      </c>
    </row>
    <row r="44" spans="1:19" ht="18" customHeight="1" x14ac:dyDescent="0.35">
      <c r="A44" s="54"/>
      <c r="B44" s="55"/>
      <c r="C44" s="54"/>
      <c r="D44" s="54"/>
      <c r="E44" s="54"/>
      <c r="F44" s="59"/>
      <c r="G44" s="57"/>
      <c r="H44" s="63" t="str">
        <f>IF($C44="","",IFERROR(INDEX(Dusts!$B$2:$B$40,MATCH($C44,Dusts!$A$2:$A$40,0)),"—"))</f>
        <v/>
      </c>
      <c r="I44" s="62" t="str">
        <f>IF($C44="","",IFERROR(INDEX(Dusts!$C$2:$C$40,MATCH($C44,Dusts!$A$2:$A$40,0)),"—"))</f>
        <v/>
      </c>
      <c r="J44" s="62" t="str">
        <f>IF($C44="","",IFERROR(INDEX(Dusts!$D$2:$D$40,MATCH($C44,Dusts!$A$2:$A$40,0)),"—"))</f>
        <v/>
      </c>
      <c r="K44" s="62" t="str">
        <f>IF($C44="","",IFERROR(INDEX(Dusts!$E$2:$E$40,MATCH($C44,Dusts!$A$2:$A$40,0)),"—"))</f>
        <v/>
      </c>
      <c r="L44" s="66" t="str">
        <f t="shared" si="0"/>
        <v/>
      </c>
      <c r="M44" s="66" t="str">
        <f t="shared" si="1"/>
        <v/>
      </c>
      <c r="N44" s="76" t="str">
        <f t="shared" si="2"/>
        <v/>
      </c>
      <c r="O44" s="76" t="str">
        <f t="shared" si="3"/>
        <v/>
      </c>
      <c r="P44" s="78" t="str">
        <f t="shared" si="4"/>
        <v/>
      </c>
      <c r="Q44" s="79" t="str">
        <f t="shared" si="5"/>
        <v/>
      </c>
      <c r="R44" s="80" t="str">
        <f t="shared" si="6"/>
        <v/>
      </c>
      <c r="S44" s="77" t="str">
        <f t="shared" si="7"/>
        <v/>
      </c>
    </row>
    <row r="45" spans="1:19" ht="18" customHeight="1" x14ac:dyDescent="0.35">
      <c r="A45" s="54"/>
      <c r="B45" s="55"/>
      <c r="C45" s="54"/>
      <c r="D45" s="54"/>
      <c r="E45" s="54"/>
      <c r="F45" s="59"/>
      <c r="G45" s="57"/>
      <c r="H45" s="63" t="str">
        <f>IF($C45="","",IFERROR(INDEX(Dusts!$B$2:$B$40,MATCH($C45,Dusts!$A$2:$A$40,0)),"—"))</f>
        <v/>
      </c>
      <c r="I45" s="62" t="str">
        <f>IF($C45="","",IFERROR(INDEX(Dusts!$C$2:$C$40,MATCH($C45,Dusts!$A$2:$A$40,0)),"—"))</f>
        <v/>
      </c>
      <c r="J45" s="62" t="str">
        <f>IF($C45="","",IFERROR(INDEX(Dusts!$D$2:$D$40,MATCH($C45,Dusts!$A$2:$A$40,0)),"—"))</f>
        <v/>
      </c>
      <c r="K45" s="62" t="str">
        <f>IF($C45="","",IFERROR(INDEX(Dusts!$E$2:$E$40,MATCH($C45,Dusts!$A$2:$A$40,0)),"—"))</f>
        <v/>
      </c>
      <c r="L45" s="66" t="str">
        <f t="shared" si="0"/>
        <v/>
      </c>
      <c r="M45" s="66" t="str">
        <f t="shared" si="1"/>
        <v/>
      </c>
      <c r="N45" s="76" t="str">
        <f t="shared" si="2"/>
        <v/>
      </c>
      <c r="O45" s="76" t="str">
        <f t="shared" si="3"/>
        <v/>
      </c>
      <c r="P45" s="78" t="str">
        <f t="shared" si="4"/>
        <v/>
      </c>
      <c r="Q45" s="79" t="str">
        <f t="shared" si="5"/>
        <v/>
      </c>
      <c r="R45" s="80" t="str">
        <f t="shared" si="6"/>
        <v/>
      </c>
      <c r="S45" s="77" t="str">
        <f t="shared" si="7"/>
        <v/>
      </c>
    </row>
  </sheetData>
  <conditionalFormatting sqref="N6:N45">
    <cfRule type="expression" dxfId="3" priority="2">
      <formula>$N6="Zone 20"</formula>
    </cfRule>
    <cfRule type="expression" dxfId="2" priority="3">
      <formula>$N6="Zone 21"</formula>
    </cfRule>
    <cfRule type="expression" dxfId="1" priority="4">
      <formula>$N6="Zone 22"</formula>
    </cfRule>
    <cfRule type="expression" dxfId="0" priority="5">
      <formula>$N6="Non-hazardous"</formula>
    </cfRule>
  </conditionalFormatting>
  <dataValidations count="2">
    <dataValidation type="list" allowBlank="1" sqref="D6:D45" xr:uid="{00000000-0002-0000-0300-000001000000}">
      <formula1>"Continuous,Primary,Secondary"</formula1>
      <formula2>0</formula2>
    </dataValidation>
    <dataValidation type="list" allowBlank="1" sqref="E6:E45" xr:uid="{00000000-0002-0000-0300-000002000000}">
      <formula1>"Good,Fair,Poor"</formula1>
      <formula2>0</formula2>
    </dataValidation>
  </dataValidations>
  <pageMargins left="0.4" right="0.4" top="0.5" bottom="0.5" header="0.511811023622047" footer="0.511811023622047"/>
  <pageSetup paperSize="9" fitToHeight="0" orientation="landscape" horizontalDpi="300" verticalDpi="300"/>
  <legacyDrawing r:id="rId1"/>
  <extLst>
    <ext xmlns:x14="http://schemas.microsoft.com/office/spreadsheetml/2009/9/main" uri="{CCE6A557-97BC-4b89-ADB6-D9C93CAAB3DF}">
      <x14:dataValidations xmlns:xm="http://schemas.microsoft.com/office/excel/2006/main" count="1">
        <x14:dataValidation type="list" allowBlank="1" xr:uid="{00000000-0002-0000-0300-000000000000}">
          <x14:formula1>
            <xm:f>Dusts!$A$2:$A$40</xm:f>
          </x14:formula1>
          <x14:formula2>
            <xm:f>0</xm:f>
          </x14:formula2>
          <xm:sqref>C6:C45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60"/>
  <sheetViews>
    <sheetView showGridLines="0" zoomScale="90" zoomScaleNormal="90" workbookViewId="0">
      <pane xSplit="1" ySplit="1" topLeftCell="B2" activePane="bottomRight" state="frozen"/>
      <selection pane="topRight" activeCell="B1" sqref="B1"/>
      <selection pane="bottomLeft" activeCell="A2" sqref="A2"/>
      <selection pane="bottomRight"/>
    </sheetView>
  </sheetViews>
  <sheetFormatPr defaultColWidth="8.6328125" defaultRowHeight="14.5" x14ac:dyDescent="0.35"/>
  <cols>
    <col min="1" max="1" width="22" customWidth="1"/>
    <col min="2" max="2" width="8" customWidth="1"/>
    <col min="3" max="3" width="12" customWidth="1"/>
    <col min="4" max="5" width="9" customWidth="1"/>
    <col min="6" max="6" width="10" customWidth="1"/>
    <col min="7" max="7" width="12" customWidth="1"/>
    <col min="8" max="8" width="11" customWidth="1"/>
    <col min="9" max="9" width="10" customWidth="1"/>
    <col min="10" max="10" width="12" customWidth="1"/>
    <col min="11" max="11" width="9" customWidth="1"/>
    <col min="12" max="14" width="10" customWidth="1"/>
    <col min="15" max="15" width="62" customWidth="1"/>
    <col min="17" max="21" width="14" customWidth="1"/>
  </cols>
  <sheetData>
    <row r="1" spans="1:21" ht="42" customHeight="1" x14ac:dyDescent="0.35">
      <c r="A1" s="81" t="s">
        <v>5</v>
      </c>
      <c r="B1" s="81" t="s">
        <v>218</v>
      </c>
      <c r="C1" s="81" t="s">
        <v>219</v>
      </c>
      <c r="D1" s="81" t="s">
        <v>155</v>
      </c>
      <c r="E1" s="81" t="s">
        <v>220</v>
      </c>
      <c r="F1" s="81" t="s">
        <v>221</v>
      </c>
      <c r="G1" s="81" t="s">
        <v>157</v>
      </c>
      <c r="H1" s="81" t="s">
        <v>158</v>
      </c>
      <c r="I1" s="81" t="s">
        <v>159</v>
      </c>
      <c r="J1" s="81" t="s">
        <v>222</v>
      </c>
      <c r="K1" s="81" t="s">
        <v>161</v>
      </c>
      <c r="L1" s="81" t="s">
        <v>223</v>
      </c>
      <c r="M1" s="81" t="s">
        <v>224</v>
      </c>
      <c r="N1" s="81" t="s">
        <v>225</v>
      </c>
      <c r="O1" s="81" t="s">
        <v>226</v>
      </c>
      <c r="P1" s="47"/>
      <c r="Q1" s="82" t="s">
        <v>227</v>
      </c>
      <c r="R1" s="47"/>
      <c r="S1" s="47"/>
      <c r="T1" s="47"/>
      <c r="U1" s="47"/>
    </row>
    <row r="2" spans="1:21" ht="18" customHeight="1" x14ac:dyDescent="0.35">
      <c r="A2" s="83" t="s">
        <v>190</v>
      </c>
      <c r="B2" s="83" t="s">
        <v>228</v>
      </c>
      <c r="C2" s="83">
        <v>16.04</v>
      </c>
      <c r="D2" s="83">
        <v>4.4000000000000004</v>
      </c>
      <c r="E2" s="83">
        <v>17</v>
      </c>
      <c r="F2" s="83">
        <v>1.31</v>
      </c>
      <c r="G2" s="83"/>
      <c r="H2" s="83">
        <v>-161.5</v>
      </c>
      <c r="I2" s="83"/>
      <c r="J2" s="83">
        <v>600</v>
      </c>
      <c r="K2" s="83" t="s">
        <v>229</v>
      </c>
      <c r="L2" s="83"/>
      <c r="M2" s="83"/>
      <c r="N2" s="83"/>
      <c r="O2" s="84" t="s">
        <v>230</v>
      </c>
      <c r="P2" s="47"/>
      <c r="Q2" s="171" t="s">
        <v>231</v>
      </c>
      <c r="R2" s="170"/>
      <c r="S2" s="170"/>
      <c r="T2" s="170"/>
      <c r="U2" s="170"/>
    </row>
    <row r="3" spans="1:21" ht="18" customHeight="1" x14ac:dyDescent="0.35">
      <c r="A3" s="83" t="s">
        <v>185</v>
      </c>
      <c r="B3" s="83" t="s">
        <v>228</v>
      </c>
      <c r="C3" s="83">
        <v>44.1</v>
      </c>
      <c r="D3" s="83">
        <v>1.7</v>
      </c>
      <c r="E3" s="83">
        <v>10.9</v>
      </c>
      <c r="F3" s="83">
        <v>1.1299999999999999</v>
      </c>
      <c r="G3" s="83">
        <v>493</v>
      </c>
      <c r="H3" s="83">
        <v>-42.1</v>
      </c>
      <c r="I3" s="83"/>
      <c r="J3" s="83">
        <v>450</v>
      </c>
      <c r="K3" s="83" t="s">
        <v>229</v>
      </c>
      <c r="L3" s="83"/>
      <c r="M3" s="83"/>
      <c r="N3" s="83"/>
      <c r="O3" s="84" t="s">
        <v>230</v>
      </c>
      <c r="P3" s="47"/>
      <c r="Q3" s="170"/>
      <c r="R3" s="170"/>
      <c r="S3" s="170"/>
      <c r="T3" s="170"/>
      <c r="U3" s="170"/>
    </row>
    <row r="4" spans="1:21" ht="18" customHeight="1" x14ac:dyDescent="0.35">
      <c r="A4" s="83" t="s">
        <v>197</v>
      </c>
      <c r="B4" s="83" t="s">
        <v>228</v>
      </c>
      <c r="C4" s="83">
        <v>58.12</v>
      </c>
      <c r="D4" s="83">
        <v>1.4</v>
      </c>
      <c r="E4" s="83">
        <v>9.3000000000000007</v>
      </c>
      <c r="F4" s="83">
        <v>1.1000000000000001</v>
      </c>
      <c r="G4" s="83">
        <v>579</v>
      </c>
      <c r="H4" s="83">
        <v>-0.5</v>
      </c>
      <c r="I4" s="83"/>
      <c r="J4" s="83">
        <v>372</v>
      </c>
      <c r="K4" s="83" t="s">
        <v>229</v>
      </c>
      <c r="L4" s="83"/>
      <c r="M4" s="83"/>
      <c r="N4" s="83"/>
      <c r="O4" s="84" t="s">
        <v>230</v>
      </c>
      <c r="P4" s="47"/>
      <c r="Q4" s="170"/>
      <c r="R4" s="170"/>
      <c r="S4" s="170"/>
      <c r="T4" s="170"/>
      <c r="U4" s="170"/>
    </row>
    <row r="5" spans="1:21" ht="18" customHeight="1" x14ac:dyDescent="0.35">
      <c r="A5" s="83" t="s">
        <v>232</v>
      </c>
      <c r="B5" s="83" t="s">
        <v>228</v>
      </c>
      <c r="C5" s="83">
        <v>2.016</v>
      </c>
      <c r="D5" s="83">
        <v>4</v>
      </c>
      <c r="E5" s="83">
        <v>77</v>
      </c>
      <c r="F5" s="83">
        <v>1.41</v>
      </c>
      <c r="G5" s="83"/>
      <c r="H5" s="83">
        <v>-252.9</v>
      </c>
      <c r="I5" s="83"/>
      <c r="J5" s="83">
        <v>560</v>
      </c>
      <c r="K5" s="83" t="s">
        <v>233</v>
      </c>
      <c r="L5" s="83"/>
      <c r="M5" s="83"/>
      <c r="N5" s="83"/>
      <c r="O5" s="84" t="s">
        <v>230</v>
      </c>
      <c r="P5" s="47"/>
      <c r="Q5" s="170"/>
      <c r="R5" s="170"/>
      <c r="S5" s="170"/>
      <c r="T5" s="170"/>
      <c r="U5" s="170"/>
    </row>
    <row r="6" spans="1:21" ht="18" customHeight="1" x14ac:dyDescent="0.35">
      <c r="A6" s="83" t="s">
        <v>234</v>
      </c>
      <c r="B6" s="83" t="s">
        <v>228</v>
      </c>
      <c r="C6" s="83">
        <v>28.05</v>
      </c>
      <c r="D6" s="83">
        <v>2.2999999999999998</v>
      </c>
      <c r="E6" s="83">
        <v>36</v>
      </c>
      <c r="F6" s="83">
        <v>1.24</v>
      </c>
      <c r="G6" s="83"/>
      <c r="H6" s="83">
        <v>-103.7</v>
      </c>
      <c r="I6" s="83"/>
      <c r="J6" s="83">
        <v>440</v>
      </c>
      <c r="K6" s="83" t="s">
        <v>235</v>
      </c>
      <c r="L6" s="83"/>
      <c r="M6" s="83"/>
      <c r="N6" s="83"/>
      <c r="O6" s="84" t="s">
        <v>230</v>
      </c>
      <c r="P6" s="47"/>
      <c r="Q6" s="170"/>
      <c r="R6" s="170"/>
      <c r="S6" s="170"/>
      <c r="T6" s="170"/>
      <c r="U6" s="170"/>
    </row>
    <row r="7" spans="1:21" ht="18" customHeight="1" x14ac:dyDescent="0.35">
      <c r="A7" s="83" t="s">
        <v>236</v>
      </c>
      <c r="B7" s="83" t="s">
        <v>228</v>
      </c>
      <c r="C7" s="83">
        <v>26.04</v>
      </c>
      <c r="D7" s="83">
        <v>2.2999999999999998</v>
      </c>
      <c r="E7" s="83">
        <v>100</v>
      </c>
      <c r="F7" s="83">
        <v>1.23</v>
      </c>
      <c r="G7" s="83"/>
      <c r="H7" s="83">
        <v>-84</v>
      </c>
      <c r="I7" s="83"/>
      <c r="J7" s="83">
        <v>305</v>
      </c>
      <c r="K7" s="83" t="s">
        <v>233</v>
      </c>
      <c r="L7" s="83"/>
      <c r="M7" s="83"/>
      <c r="N7" s="83"/>
      <c r="O7" s="84" t="s">
        <v>230</v>
      </c>
      <c r="P7" s="47"/>
      <c r="Q7" s="170"/>
      <c r="R7" s="170"/>
      <c r="S7" s="170"/>
      <c r="T7" s="170"/>
      <c r="U7" s="170"/>
    </row>
    <row r="8" spans="1:21" ht="18" customHeight="1" x14ac:dyDescent="0.35">
      <c r="A8" s="83" t="s">
        <v>237</v>
      </c>
      <c r="B8" s="83" t="s">
        <v>228</v>
      </c>
      <c r="C8" s="83">
        <v>17.03</v>
      </c>
      <c r="D8" s="83">
        <v>15</v>
      </c>
      <c r="E8" s="83">
        <v>33.6</v>
      </c>
      <c r="F8" s="83">
        <v>1.31</v>
      </c>
      <c r="G8" s="83"/>
      <c r="H8" s="83">
        <v>-33.299999999999997</v>
      </c>
      <c r="I8" s="83"/>
      <c r="J8" s="83">
        <v>630</v>
      </c>
      <c r="K8" s="83" t="s">
        <v>229</v>
      </c>
      <c r="L8" s="83"/>
      <c r="M8" s="83"/>
      <c r="N8" s="83"/>
      <c r="O8" s="84" t="s">
        <v>230</v>
      </c>
      <c r="P8" s="47"/>
      <c r="Q8" s="170"/>
      <c r="R8" s="170"/>
      <c r="S8" s="170"/>
      <c r="T8" s="170"/>
      <c r="U8" s="170"/>
    </row>
    <row r="9" spans="1:21" ht="18" customHeight="1" x14ac:dyDescent="0.35">
      <c r="A9" s="83" t="s">
        <v>238</v>
      </c>
      <c r="B9" s="83" t="s">
        <v>228</v>
      </c>
      <c r="C9" s="83">
        <v>34.08</v>
      </c>
      <c r="D9" s="83">
        <v>4</v>
      </c>
      <c r="E9" s="83">
        <v>45.5</v>
      </c>
      <c r="F9" s="83">
        <v>1.32</v>
      </c>
      <c r="G9" s="83"/>
      <c r="H9" s="83">
        <v>-60.3</v>
      </c>
      <c r="I9" s="83"/>
      <c r="J9" s="83">
        <v>260</v>
      </c>
      <c r="K9" s="83" t="s">
        <v>235</v>
      </c>
      <c r="L9" s="83"/>
      <c r="M9" s="83"/>
      <c r="N9" s="83"/>
      <c r="O9" s="84" t="s">
        <v>230</v>
      </c>
      <c r="P9" s="47"/>
      <c r="Q9" s="170"/>
      <c r="R9" s="170"/>
      <c r="S9" s="170"/>
      <c r="T9" s="170"/>
      <c r="U9" s="170"/>
    </row>
    <row r="10" spans="1:21" ht="18" customHeight="1" x14ac:dyDescent="0.35">
      <c r="A10" s="83" t="s">
        <v>239</v>
      </c>
      <c r="B10" s="83" t="s">
        <v>240</v>
      </c>
      <c r="C10" s="83">
        <v>32.04</v>
      </c>
      <c r="D10" s="83">
        <v>6</v>
      </c>
      <c r="E10" s="83">
        <v>36</v>
      </c>
      <c r="F10" s="83"/>
      <c r="G10" s="83">
        <v>791</v>
      </c>
      <c r="H10" s="83">
        <v>64.7</v>
      </c>
      <c r="I10" s="83">
        <v>11</v>
      </c>
      <c r="J10" s="83">
        <v>440</v>
      </c>
      <c r="K10" s="83" t="s">
        <v>229</v>
      </c>
      <c r="L10" s="83">
        <v>8.0809700000000007</v>
      </c>
      <c r="M10" s="83">
        <v>1582.271</v>
      </c>
      <c r="N10" s="83">
        <v>239.726</v>
      </c>
      <c r="O10" s="84" t="s">
        <v>230</v>
      </c>
      <c r="P10" s="47"/>
      <c r="Q10" s="170"/>
      <c r="R10" s="170"/>
      <c r="S10" s="170"/>
      <c r="T10" s="170"/>
      <c r="U10" s="170"/>
    </row>
    <row r="11" spans="1:21" ht="18" customHeight="1" x14ac:dyDescent="0.35">
      <c r="A11" s="83" t="s">
        <v>241</v>
      </c>
      <c r="B11" s="83" t="s">
        <v>240</v>
      </c>
      <c r="C11" s="83">
        <v>46.07</v>
      </c>
      <c r="D11" s="83">
        <v>3.1</v>
      </c>
      <c r="E11" s="83">
        <v>19</v>
      </c>
      <c r="F11" s="83"/>
      <c r="G11" s="83">
        <v>789</v>
      </c>
      <c r="H11" s="83">
        <v>78.400000000000006</v>
      </c>
      <c r="I11" s="83">
        <v>13</v>
      </c>
      <c r="J11" s="83">
        <v>363</v>
      </c>
      <c r="K11" s="83" t="s">
        <v>235</v>
      </c>
      <c r="L11" s="83">
        <v>8.2041699999999995</v>
      </c>
      <c r="M11" s="83">
        <v>1642.89</v>
      </c>
      <c r="N11" s="83">
        <v>230.3</v>
      </c>
      <c r="O11" s="84" t="s">
        <v>230</v>
      </c>
      <c r="P11" s="47"/>
      <c r="Q11" s="170"/>
      <c r="R11" s="170"/>
      <c r="S11" s="170"/>
      <c r="T11" s="170"/>
      <c r="U11" s="170"/>
    </row>
    <row r="12" spans="1:21" ht="18" customHeight="1" x14ac:dyDescent="0.35">
      <c r="A12" s="83" t="s">
        <v>242</v>
      </c>
      <c r="B12" s="83" t="s">
        <v>240</v>
      </c>
      <c r="C12" s="83">
        <v>60.1</v>
      </c>
      <c r="D12" s="83">
        <v>2</v>
      </c>
      <c r="E12" s="83">
        <v>12.7</v>
      </c>
      <c r="F12" s="83"/>
      <c r="G12" s="83">
        <v>786</v>
      </c>
      <c r="H12" s="83">
        <v>82.3</v>
      </c>
      <c r="I12" s="83">
        <v>12</v>
      </c>
      <c r="J12" s="83">
        <v>399</v>
      </c>
      <c r="K12" s="83" t="s">
        <v>229</v>
      </c>
      <c r="L12" s="83">
        <v>8.1177799999999998</v>
      </c>
      <c r="M12" s="83">
        <v>1580.92</v>
      </c>
      <c r="N12" s="83">
        <v>219.61</v>
      </c>
      <c r="O12" s="84" t="s">
        <v>230</v>
      </c>
      <c r="P12" s="47"/>
      <c r="Q12" s="170"/>
      <c r="R12" s="170"/>
      <c r="S12" s="170"/>
      <c r="T12" s="170"/>
      <c r="U12" s="170"/>
    </row>
    <row r="13" spans="1:21" ht="18" customHeight="1" x14ac:dyDescent="0.35">
      <c r="A13" s="83" t="s">
        <v>243</v>
      </c>
      <c r="B13" s="83" t="s">
        <v>240</v>
      </c>
      <c r="C13" s="83">
        <v>58.08</v>
      </c>
      <c r="D13" s="83">
        <v>2.5</v>
      </c>
      <c r="E13" s="83">
        <v>13</v>
      </c>
      <c r="F13" s="83"/>
      <c r="G13" s="83">
        <v>784</v>
      </c>
      <c r="H13" s="83">
        <v>56.1</v>
      </c>
      <c r="I13" s="83">
        <v>-18</v>
      </c>
      <c r="J13" s="83">
        <v>465</v>
      </c>
      <c r="K13" s="83" t="s">
        <v>229</v>
      </c>
      <c r="L13" s="83">
        <v>7.11714</v>
      </c>
      <c r="M13" s="83">
        <v>1210.595</v>
      </c>
      <c r="N13" s="83">
        <v>229.66399999999999</v>
      </c>
      <c r="O13" s="84" t="s">
        <v>230</v>
      </c>
      <c r="P13" s="47"/>
      <c r="Q13" s="47"/>
      <c r="R13" s="47"/>
      <c r="S13" s="47"/>
      <c r="T13" s="47"/>
      <c r="U13" s="47"/>
    </row>
    <row r="14" spans="1:21" ht="18" customHeight="1" x14ac:dyDescent="0.35">
      <c r="A14" s="83" t="s">
        <v>244</v>
      </c>
      <c r="B14" s="83" t="s">
        <v>240</v>
      </c>
      <c r="C14" s="83">
        <v>88.11</v>
      </c>
      <c r="D14" s="83">
        <v>2</v>
      </c>
      <c r="E14" s="83">
        <v>11.5</v>
      </c>
      <c r="F14" s="83"/>
      <c r="G14" s="83">
        <v>902</v>
      </c>
      <c r="H14" s="83">
        <v>77.099999999999994</v>
      </c>
      <c r="I14" s="83">
        <v>-4</v>
      </c>
      <c r="J14" s="83">
        <v>426</v>
      </c>
      <c r="K14" s="83" t="s">
        <v>229</v>
      </c>
      <c r="L14" s="83">
        <v>7.1017900000000003</v>
      </c>
      <c r="M14" s="83">
        <v>1244.95</v>
      </c>
      <c r="N14" s="83">
        <v>217.88</v>
      </c>
      <c r="O14" s="84" t="s">
        <v>230</v>
      </c>
      <c r="P14" s="47"/>
      <c r="Q14" s="47"/>
      <c r="R14" s="47"/>
      <c r="S14" s="47"/>
      <c r="T14" s="47"/>
      <c r="U14" s="47"/>
    </row>
    <row r="15" spans="1:21" ht="18" customHeight="1" x14ac:dyDescent="0.35">
      <c r="A15" s="83" t="s">
        <v>6</v>
      </c>
      <c r="B15" s="83" t="s">
        <v>240</v>
      </c>
      <c r="C15" s="83">
        <v>92.14</v>
      </c>
      <c r="D15" s="83">
        <v>1</v>
      </c>
      <c r="E15" s="83">
        <v>7.1</v>
      </c>
      <c r="F15" s="83"/>
      <c r="G15" s="83">
        <v>867</v>
      </c>
      <c r="H15" s="83">
        <v>110.6</v>
      </c>
      <c r="I15" s="83">
        <v>4</v>
      </c>
      <c r="J15" s="83">
        <v>480</v>
      </c>
      <c r="K15" s="83" t="s">
        <v>229</v>
      </c>
      <c r="L15" s="83">
        <v>6.9546400000000004</v>
      </c>
      <c r="M15" s="83">
        <v>1344.8</v>
      </c>
      <c r="N15" s="83">
        <v>219.482</v>
      </c>
      <c r="O15" s="84" t="s">
        <v>230</v>
      </c>
      <c r="P15" s="47"/>
      <c r="Q15" s="47"/>
      <c r="R15" s="47"/>
      <c r="S15" s="47"/>
      <c r="T15" s="47"/>
      <c r="U15" s="47"/>
    </row>
    <row r="16" spans="1:21" ht="18" customHeight="1" x14ac:dyDescent="0.35">
      <c r="A16" s="83" t="s">
        <v>245</v>
      </c>
      <c r="B16" s="83" t="s">
        <v>240</v>
      </c>
      <c r="C16" s="83">
        <v>106.17</v>
      </c>
      <c r="D16" s="83">
        <v>1</v>
      </c>
      <c r="E16" s="83">
        <v>7</v>
      </c>
      <c r="F16" s="83"/>
      <c r="G16" s="83">
        <v>864</v>
      </c>
      <c r="H16" s="83">
        <v>138</v>
      </c>
      <c r="I16" s="83">
        <v>25</v>
      </c>
      <c r="J16" s="83">
        <v>464</v>
      </c>
      <c r="K16" s="83" t="s">
        <v>229</v>
      </c>
      <c r="L16" s="83">
        <v>6.9905200000000001</v>
      </c>
      <c r="M16" s="83">
        <v>1453.43</v>
      </c>
      <c r="N16" s="83">
        <v>215.31</v>
      </c>
      <c r="O16" s="84" t="s">
        <v>230</v>
      </c>
      <c r="P16" s="47"/>
      <c r="Q16" s="47"/>
      <c r="R16" s="47"/>
      <c r="S16" s="47"/>
      <c r="T16" s="47"/>
      <c r="U16" s="47"/>
    </row>
    <row r="17" spans="1:21" ht="18" customHeight="1" x14ac:dyDescent="0.35">
      <c r="A17" s="83" t="s">
        <v>246</v>
      </c>
      <c r="B17" s="83" t="s">
        <v>240</v>
      </c>
      <c r="C17" s="83">
        <v>86.18</v>
      </c>
      <c r="D17" s="83">
        <v>1</v>
      </c>
      <c r="E17" s="83">
        <v>7.5</v>
      </c>
      <c r="F17" s="83"/>
      <c r="G17" s="83">
        <v>659</v>
      </c>
      <c r="H17" s="83">
        <v>68.7</v>
      </c>
      <c r="I17" s="83">
        <v>-22</v>
      </c>
      <c r="J17" s="83">
        <v>225</v>
      </c>
      <c r="K17" s="83" t="s">
        <v>229</v>
      </c>
      <c r="L17" s="83">
        <v>6.87601</v>
      </c>
      <c r="M17" s="83">
        <v>1171.17</v>
      </c>
      <c r="N17" s="83">
        <v>224.41</v>
      </c>
      <c r="O17" s="84" t="s">
        <v>230</v>
      </c>
      <c r="P17" s="47"/>
      <c r="Q17" s="47"/>
      <c r="R17" s="47"/>
      <c r="S17" s="47"/>
      <c r="T17" s="47"/>
      <c r="U17" s="47"/>
    </row>
    <row r="18" spans="1:21" ht="18" customHeight="1" x14ac:dyDescent="0.35">
      <c r="A18" s="83" t="s">
        <v>247</v>
      </c>
      <c r="B18" s="83" t="s">
        <v>240</v>
      </c>
      <c r="C18" s="83">
        <v>100.2</v>
      </c>
      <c r="D18" s="83">
        <v>1.1000000000000001</v>
      </c>
      <c r="E18" s="83">
        <v>6.7</v>
      </c>
      <c r="F18" s="83"/>
      <c r="G18" s="83">
        <v>684</v>
      </c>
      <c r="H18" s="83">
        <v>98.4</v>
      </c>
      <c r="I18" s="83">
        <v>-4</v>
      </c>
      <c r="J18" s="83">
        <v>204</v>
      </c>
      <c r="K18" s="83" t="s">
        <v>229</v>
      </c>
      <c r="L18" s="83">
        <v>6.8938499999999996</v>
      </c>
      <c r="M18" s="83">
        <v>1264.3699999999999</v>
      </c>
      <c r="N18" s="83">
        <v>216.636</v>
      </c>
      <c r="O18" s="84" t="s">
        <v>230</v>
      </c>
      <c r="P18" s="47"/>
      <c r="Q18" s="47"/>
      <c r="R18" s="47"/>
      <c r="S18" s="47"/>
      <c r="T18" s="47"/>
      <c r="U18" s="47"/>
    </row>
    <row r="19" spans="1:21" ht="18" customHeight="1" x14ac:dyDescent="0.35">
      <c r="A19" s="83" t="s">
        <v>248</v>
      </c>
      <c r="B19" s="83" t="s">
        <v>240</v>
      </c>
      <c r="C19" s="83">
        <v>74.12</v>
      </c>
      <c r="D19" s="83">
        <v>1.7</v>
      </c>
      <c r="E19" s="83">
        <v>36</v>
      </c>
      <c r="F19" s="83"/>
      <c r="G19" s="83">
        <v>713</v>
      </c>
      <c r="H19" s="83">
        <v>34.6</v>
      </c>
      <c r="I19" s="83">
        <v>-45</v>
      </c>
      <c r="J19" s="83">
        <v>160</v>
      </c>
      <c r="K19" s="83" t="s">
        <v>235</v>
      </c>
      <c r="L19" s="83">
        <v>6.9203200000000002</v>
      </c>
      <c r="M19" s="83">
        <v>1064.07</v>
      </c>
      <c r="N19" s="83">
        <v>228.8</v>
      </c>
      <c r="O19" s="84" t="s">
        <v>230</v>
      </c>
      <c r="P19" s="47"/>
      <c r="Q19" s="47"/>
      <c r="R19" s="47"/>
      <c r="S19" s="47"/>
      <c r="T19" s="47"/>
      <c r="U19" s="47"/>
    </row>
    <row r="20" spans="1:21" ht="18" customHeight="1" x14ac:dyDescent="0.35">
      <c r="A20" s="85" t="s">
        <v>249</v>
      </c>
      <c r="B20" s="85" t="s">
        <v>240</v>
      </c>
      <c r="C20" s="85">
        <v>140</v>
      </c>
      <c r="D20" s="85">
        <v>0.6</v>
      </c>
      <c r="E20" s="85">
        <v>6.5</v>
      </c>
      <c r="F20" s="85"/>
      <c r="G20" s="85">
        <v>785</v>
      </c>
      <c r="H20" s="85">
        <v>150</v>
      </c>
      <c r="I20" s="85">
        <v>38</v>
      </c>
      <c r="J20" s="85">
        <v>240</v>
      </c>
      <c r="K20" s="85" t="s">
        <v>229</v>
      </c>
      <c r="L20" s="85">
        <v>6.93893</v>
      </c>
      <c r="M20" s="85">
        <v>1431.82</v>
      </c>
      <c r="N20" s="85">
        <v>202.01</v>
      </c>
      <c r="O20" s="86" t="s">
        <v>250</v>
      </c>
      <c r="P20" s="47"/>
      <c r="Q20" s="47"/>
      <c r="R20" s="47"/>
      <c r="S20" s="47"/>
      <c r="T20" s="47"/>
      <c r="U20" s="47"/>
    </row>
    <row r="21" spans="1:21" ht="18" customHeight="1" x14ac:dyDescent="0.35">
      <c r="A21" s="83"/>
      <c r="B21" s="83"/>
      <c r="C21" s="83"/>
      <c r="D21" s="83"/>
      <c r="E21" s="83"/>
      <c r="F21" s="83"/>
      <c r="G21" s="83"/>
      <c r="H21" s="83"/>
      <c r="I21" s="83"/>
      <c r="J21" s="83"/>
      <c r="K21" s="83"/>
      <c r="L21" s="83"/>
      <c r="M21" s="83"/>
      <c r="N21" s="83"/>
      <c r="O21" s="83"/>
      <c r="P21" s="47"/>
      <c r="Q21" s="47"/>
      <c r="R21" s="47"/>
      <c r="S21" s="47"/>
      <c r="T21" s="47"/>
      <c r="U21" s="47"/>
    </row>
    <row r="22" spans="1:21" ht="18" customHeight="1" x14ac:dyDescent="0.35">
      <c r="A22" s="83"/>
      <c r="B22" s="83"/>
      <c r="C22" s="83"/>
      <c r="D22" s="83"/>
      <c r="E22" s="83"/>
      <c r="F22" s="83"/>
      <c r="G22" s="83"/>
      <c r="H22" s="83"/>
      <c r="I22" s="83"/>
      <c r="J22" s="83"/>
      <c r="K22" s="83"/>
      <c r="L22" s="83"/>
      <c r="M22" s="83"/>
      <c r="N22" s="83"/>
      <c r="O22" s="83"/>
      <c r="P22" s="47"/>
      <c r="Q22" s="47"/>
      <c r="R22" s="47"/>
      <c r="S22" s="47"/>
      <c r="T22" s="47"/>
      <c r="U22" s="47"/>
    </row>
    <row r="23" spans="1:21" ht="18" customHeight="1" x14ac:dyDescent="0.35">
      <c r="A23" s="83"/>
      <c r="B23" s="83"/>
      <c r="C23" s="83"/>
      <c r="D23" s="83"/>
      <c r="E23" s="83"/>
      <c r="F23" s="83"/>
      <c r="G23" s="83"/>
      <c r="H23" s="83"/>
      <c r="I23" s="83"/>
      <c r="J23" s="83"/>
      <c r="K23" s="83"/>
      <c r="L23" s="83"/>
      <c r="M23" s="83"/>
      <c r="N23" s="83"/>
      <c r="O23" s="83"/>
      <c r="P23" s="47"/>
      <c r="Q23" s="47"/>
      <c r="R23" s="47"/>
      <c r="S23" s="47"/>
      <c r="T23" s="47"/>
      <c r="U23" s="47"/>
    </row>
    <row r="24" spans="1:21" ht="18" customHeight="1" x14ac:dyDescent="0.35">
      <c r="A24" s="83"/>
      <c r="B24" s="83"/>
      <c r="C24" s="83"/>
      <c r="D24" s="83"/>
      <c r="E24" s="83"/>
      <c r="F24" s="83"/>
      <c r="G24" s="83"/>
      <c r="H24" s="83"/>
      <c r="I24" s="83"/>
      <c r="J24" s="83"/>
      <c r="K24" s="83"/>
      <c r="L24" s="83"/>
      <c r="M24" s="83"/>
      <c r="N24" s="83"/>
      <c r="O24" s="83"/>
      <c r="P24" s="47"/>
      <c r="Q24" s="47"/>
      <c r="R24" s="47"/>
      <c r="S24" s="47"/>
      <c r="T24" s="47"/>
      <c r="U24" s="47"/>
    </row>
    <row r="25" spans="1:21" ht="18" customHeight="1" x14ac:dyDescent="0.35">
      <c r="A25" s="83"/>
      <c r="B25" s="83"/>
      <c r="C25" s="83"/>
      <c r="D25" s="83"/>
      <c r="E25" s="83"/>
      <c r="F25" s="83"/>
      <c r="G25" s="83"/>
      <c r="H25" s="83"/>
      <c r="I25" s="83"/>
      <c r="J25" s="83"/>
      <c r="K25" s="83"/>
      <c r="L25" s="83"/>
      <c r="M25" s="83"/>
      <c r="N25" s="83"/>
      <c r="O25" s="83"/>
      <c r="P25" s="47"/>
      <c r="Q25" s="47"/>
      <c r="R25" s="47"/>
      <c r="S25" s="47"/>
      <c r="T25" s="47"/>
      <c r="U25" s="47"/>
    </row>
    <row r="26" spans="1:21" ht="18" customHeight="1" x14ac:dyDescent="0.35">
      <c r="A26" s="83"/>
      <c r="B26" s="83"/>
      <c r="C26" s="83"/>
      <c r="D26" s="83"/>
      <c r="E26" s="83"/>
      <c r="F26" s="83"/>
      <c r="G26" s="83"/>
      <c r="H26" s="83"/>
      <c r="I26" s="83"/>
      <c r="J26" s="83"/>
      <c r="K26" s="83"/>
      <c r="L26" s="83"/>
      <c r="M26" s="83"/>
      <c r="N26" s="83"/>
      <c r="O26" s="83"/>
      <c r="P26" s="47"/>
      <c r="Q26" s="47"/>
      <c r="R26" s="47"/>
      <c r="S26" s="47"/>
      <c r="T26" s="47"/>
      <c r="U26" s="47"/>
    </row>
    <row r="27" spans="1:21" ht="18" customHeight="1" x14ac:dyDescent="0.35">
      <c r="A27" s="83"/>
      <c r="B27" s="83"/>
      <c r="C27" s="83"/>
      <c r="D27" s="83"/>
      <c r="E27" s="83"/>
      <c r="F27" s="83"/>
      <c r="G27" s="83"/>
      <c r="H27" s="83"/>
      <c r="I27" s="83"/>
      <c r="J27" s="83"/>
      <c r="K27" s="83"/>
      <c r="L27" s="83"/>
      <c r="M27" s="83"/>
      <c r="N27" s="83"/>
      <c r="O27" s="83"/>
      <c r="P27" s="47"/>
      <c r="Q27" s="47"/>
      <c r="R27" s="47"/>
      <c r="S27" s="47"/>
      <c r="T27" s="47"/>
      <c r="U27" s="47"/>
    </row>
    <row r="28" spans="1:21" ht="18" customHeight="1" x14ac:dyDescent="0.35">
      <c r="A28" s="83"/>
      <c r="B28" s="83"/>
      <c r="C28" s="83"/>
      <c r="D28" s="83"/>
      <c r="E28" s="83"/>
      <c r="F28" s="83"/>
      <c r="G28" s="83"/>
      <c r="H28" s="83"/>
      <c r="I28" s="83"/>
      <c r="J28" s="83"/>
      <c r="K28" s="83"/>
      <c r="L28" s="83"/>
      <c r="M28" s="83"/>
      <c r="N28" s="83"/>
      <c r="O28" s="83"/>
      <c r="P28" s="47"/>
      <c r="Q28" s="47"/>
      <c r="R28" s="47"/>
      <c r="S28" s="47"/>
      <c r="T28" s="47"/>
      <c r="U28" s="47"/>
    </row>
    <row r="29" spans="1:21" ht="18" customHeight="1" x14ac:dyDescent="0.35">
      <c r="A29" s="83"/>
      <c r="B29" s="83"/>
      <c r="C29" s="83"/>
      <c r="D29" s="83"/>
      <c r="E29" s="83"/>
      <c r="F29" s="83"/>
      <c r="G29" s="83"/>
      <c r="H29" s="83"/>
      <c r="I29" s="83"/>
      <c r="J29" s="83"/>
      <c r="K29" s="83"/>
      <c r="L29" s="83"/>
      <c r="M29" s="83"/>
      <c r="N29" s="83"/>
      <c r="O29" s="83"/>
      <c r="P29" s="47"/>
      <c r="Q29" s="47"/>
      <c r="R29" s="47"/>
      <c r="S29" s="47"/>
      <c r="T29" s="47"/>
      <c r="U29" s="47"/>
    </row>
    <row r="30" spans="1:21" ht="18" customHeight="1" x14ac:dyDescent="0.35">
      <c r="A30" s="83"/>
      <c r="B30" s="83"/>
      <c r="C30" s="83"/>
      <c r="D30" s="83"/>
      <c r="E30" s="83"/>
      <c r="F30" s="83"/>
      <c r="G30" s="83"/>
      <c r="H30" s="83"/>
      <c r="I30" s="83"/>
      <c r="J30" s="83"/>
      <c r="K30" s="83"/>
      <c r="L30" s="83"/>
      <c r="M30" s="83"/>
      <c r="N30" s="83"/>
      <c r="O30" s="83"/>
      <c r="P30" s="47"/>
      <c r="Q30" s="47"/>
      <c r="R30" s="47"/>
      <c r="S30" s="47"/>
      <c r="T30" s="47"/>
      <c r="U30" s="47"/>
    </row>
    <row r="31" spans="1:21" ht="18" customHeight="1" x14ac:dyDescent="0.35">
      <c r="A31" s="83"/>
      <c r="B31" s="83"/>
      <c r="C31" s="83"/>
      <c r="D31" s="83"/>
      <c r="E31" s="83"/>
      <c r="F31" s="83"/>
      <c r="G31" s="83"/>
      <c r="H31" s="83"/>
      <c r="I31" s="83"/>
      <c r="J31" s="83"/>
      <c r="K31" s="83"/>
      <c r="L31" s="83"/>
      <c r="M31" s="83"/>
      <c r="N31" s="83"/>
      <c r="O31" s="83"/>
      <c r="P31" s="47"/>
      <c r="Q31" s="47"/>
      <c r="R31" s="47"/>
      <c r="S31" s="47"/>
      <c r="T31" s="47"/>
      <c r="U31" s="47"/>
    </row>
    <row r="32" spans="1:21" ht="18" customHeight="1" x14ac:dyDescent="0.35">
      <c r="A32" s="83"/>
      <c r="B32" s="83"/>
      <c r="C32" s="83"/>
      <c r="D32" s="83"/>
      <c r="E32" s="83"/>
      <c r="F32" s="83"/>
      <c r="G32" s="83"/>
      <c r="H32" s="83"/>
      <c r="I32" s="83"/>
      <c r="J32" s="83"/>
      <c r="K32" s="83"/>
      <c r="L32" s="83"/>
      <c r="M32" s="83"/>
      <c r="N32" s="83"/>
      <c r="O32" s="83"/>
      <c r="P32" s="47"/>
      <c r="Q32" s="47"/>
      <c r="R32" s="47"/>
      <c r="S32" s="47"/>
      <c r="T32" s="47"/>
      <c r="U32" s="47"/>
    </row>
    <row r="33" spans="1:21" ht="18" customHeight="1" x14ac:dyDescent="0.35">
      <c r="A33" s="83"/>
      <c r="B33" s="83"/>
      <c r="C33" s="83"/>
      <c r="D33" s="83"/>
      <c r="E33" s="83"/>
      <c r="F33" s="83"/>
      <c r="G33" s="83"/>
      <c r="H33" s="83"/>
      <c r="I33" s="83"/>
      <c r="J33" s="83"/>
      <c r="K33" s="83"/>
      <c r="L33" s="83"/>
      <c r="M33" s="83"/>
      <c r="N33" s="83"/>
      <c r="O33" s="83"/>
      <c r="P33" s="47"/>
      <c r="Q33" s="47"/>
      <c r="R33" s="47"/>
      <c r="S33" s="47"/>
      <c r="T33" s="47"/>
      <c r="U33" s="47"/>
    </row>
    <row r="34" spans="1:21" ht="18" customHeight="1" x14ac:dyDescent="0.35">
      <c r="A34" s="83"/>
      <c r="B34" s="83"/>
      <c r="C34" s="83"/>
      <c r="D34" s="83"/>
      <c r="E34" s="83"/>
      <c r="F34" s="83"/>
      <c r="G34" s="83"/>
      <c r="H34" s="83"/>
      <c r="I34" s="83"/>
      <c r="J34" s="83"/>
      <c r="K34" s="83"/>
      <c r="L34" s="83"/>
      <c r="M34" s="83"/>
      <c r="N34" s="83"/>
      <c r="O34" s="83"/>
      <c r="P34" s="47"/>
      <c r="Q34" s="47"/>
      <c r="R34" s="47"/>
      <c r="S34" s="47"/>
      <c r="T34" s="47"/>
      <c r="U34" s="47"/>
    </row>
    <row r="35" spans="1:21" ht="18" customHeight="1" x14ac:dyDescent="0.35">
      <c r="A35" s="83"/>
      <c r="B35" s="83"/>
      <c r="C35" s="83"/>
      <c r="D35" s="83"/>
      <c r="E35" s="83"/>
      <c r="F35" s="83"/>
      <c r="G35" s="83"/>
      <c r="H35" s="83"/>
      <c r="I35" s="83"/>
      <c r="J35" s="83"/>
      <c r="K35" s="83"/>
      <c r="L35" s="83"/>
      <c r="M35" s="83"/>
      <c r="N35" s="83"/>
      <c r="O35" s="83"/>
      <c r="P35" s="47"/>
      <c r="Q35" s="47"/>
      <c r="R35" s="47"/>
      <c r="S35" s="47"/>
      <c r="T35" s="47"/>
      <c r="U35" s="47"/>
    </row>
    <row r="36" spans="1:21" ht="18" customHeight="1" x14ac:dyDescent="0.35">
      <c r="A36" s="83"/>
      <c r="B36" s="83"/>
      <c r="C36" s="83"/>
      <c r="D36" s="83"/>
      <c r="E36" s="83"/>
      <c r="F36" s="83"/>
      <c r="G36" s="83"/>
      <c r="H36" s="83"/>
      <c r="I36" s="83"/>
      <c r="J36" s="83"/>
      <c r="K36" s="83"/>
      <c r="L36" s="83"/>
      <c r="M36" s="83"/>
      <c r="N36" s="83"/>
      <c r="O36" s="83"/>
      <c r="P36" s="47"/>
      <c r="Q36" s="47"/>
      <c r="R36" s="47"/>
      <c r="S36" s="47"/>
      <c r="T36" s="47"/>
      <c r="U36" s="47"/>
    </row>
    <row r="37" spans="1:21" ht="18" customHeight="1" x14ac:dyDescent="0.35">
      <c r="A37" s="83"/>
      <c r="B37" s="83"/>
      <c r="C37" s="83"/>
      <c r="D37" s="83"/>
      <c r="E37" s="83"/>
      <c r="F37" s="83"/>
      <c r="G37" s="83"/>
      <c r="H37" s="83"/>
      <c r="I37" s="83"/>
      <c r="J37" s="83"/>
      <c r="K37" s="83"/>
      <c r="L37" s="83"/>
      <c r="M37" s="83"/>
      <c r="N37" s="83"/>
      <c r="O37" s="83"/>
      <c r="P37" s="47"/>
      <c r="Q37" s="47"/>
      <c r="R37" s="47"/>
      <c r="S37" s="47"/>
      <c r="T37" s="47"/>
      <c r="U37" s="47"/>
    </row>
    <row r="38" spans="1:21" ht="18" customHeight="1" x14ac:dyDescent="0.35">
      <c r="A38" s="83"/>
      <c r="B38" s="83"/>
      <c r="C38" s="83"/>
      <c r="D38" s="83"/>
      <c r="E38" s="83"/>
      <c r="F38" s="83"/>
      <c r="G38" s="83"/>
      <c r="H38" s="83"/>
      <c r="I38" s="83"/>
      <c r="J38" s="83"/>
      <c r="K38" s="83"/>
      <c r="L38" s="83"/>
      <c r="M38" s="83"/>
      <c r="N38" s="83"/>
      <c r="O38" s="83"/>
      <c r="P38" s="47"/>
      <c r="Q38" s="47"/>
      <c r="R38" s="47"/>
      <c r="S38" s="47"/>
      <c r="T38" s="47"/>
      <c r="U38" s="47"/>
    </row>
    <row r="39" spans="1:21" ht="18" customHeight="1" x14ac:dyDescent="0.35">
      <c r="A39" s="83"/>
      <c r="B39" s="83"/>
      <c r="C39" s="83"/>
      <c r="D39" s="83"/>
      <c r="E39" s="83"/>
      <c r="F39" s="83"/>
      <c r="G39" s="83"/>
      <c r="H39" s="83"/>
      <c r="I39" s="83"/>
      <c r="J39" s="83"/>
      <c r="K39" s="83"/>
      <c r="L39" s="83"/>
      <c r="M39" s="83"/>
      <c r="N39" s="83"/>
      <c r="O39" s="83"/>
      <c r="P39" s="47"/>
      <c r="Q39" s="47"/>
      <c r="R39" s="47"/>
      <c r="S39" s="47"/>
      <c r="T39" s="47"/>
      <c r="U39" s="47"/>
    </row>
    <row r="40" spans="1:21" ht="18" customHeight="1" x14ac:dyDescent="0.35">
      <c r="A40" s="83"/>
      <c r="B40" s="83"/>
      <c r="C40" s="83"/>
      <c r="D40" s="83"/>
      <c r="E40" s="83"/>
      <c r="F40" s="83"/>
      <c r="G40" s="83"/>
      <c r="H40" s="83"/>
      <c r="I40" s="83"/>
      <c r="J40" s="83"/>
      <c r="K40" s="83"/>
      <c r="L40" s="83"/>
      <c r="M40" s="83"/>
      <c r="N40" s="83"/>
      <c r="O40" s="83"/>
      <c r="P40" s="47"/>
      <c r="Q40" s="47"/>
      <c r="R40" s="47"/>
      <c r="S40" s="47"/>
      <c r="T40" s="47"/>
      <c r="U40" s="47"/>
    </row>
    <row r="41" spans="1:21" ht="18" customHeight="1" x14ac:dyDescent="0.35">
      <c r="A41" s="83"/>
      <c r="B41" s="83"/>
      <c r="C41" s="83"/>
      <c r="D41" s="83"/>
      <c r="E41" s="83"/>
      <c r="F41" s="83"/>
      <c r="G41" s="83"/>
      <c r="H41" s="83"/>
      <c r="I41" s="83"/>
      <c r="J41" s="83"/>
      <c r="K41" s="83"/>
      <c r="L41" s="83"/>
      <c r="M41" s="83"/>
      <c r="N41" s="83"/>
      <c r="O41" s="83"/>
      <c r="P41" s="47"/>
      <c r="Q41" s="47"/>
      <c r="R41" s="47"/>
      <c r="S41" s="47"/>
      <c r="T41" s="47"/>
      <c r="U41" s="47"/>
    </row>
    <row r="42" spans="1:21" ht="18" customHeight="1" x14ac:dyDescent="0.35">
      <c r="A42" s="83"/>
      <c r="B42" s="83"/>
      <c r="C42" s="83"/>
      <c r="D42" s="83"/>
      <c r="E42" s="83"/>
      <c r="F42" s="83"/>
      <c r="G42" s="83"/>
      <c r="H42" s="83"/>
      <c r="I42" s="83"/>
      <c r="J42" s="83"/>
      <c r="K42" s="83"/>
      <c r="L42" s="83"/>
      <c r="M42" s="83"/>
      <c r="N42" s="83"/>
      <c r="O42" s="83"/>
      <c r="P42" s="47"/>
      <c r="Q42" s="47"/>
      <c r="R42" s="47"/>
      <c r="S42" s="47"/>
      <c r="T42" s="47"/>
      <c r="U42" s="47"/>
    </row>
    <row r="43" spans="1:21" ht="18" customHeight="1" x14ac:dyDescent="0.35">
      <c r="A43" s="83"/>
      <c r="B43" s="83"/>
      <c r="C43" s="83"/>
      <c r="D43" s="83"/>
      <c r="E43" s="83"/>
      <c r="F43" s="83"/>
      <c r="G43" s="83"/>
      <c r="H43" s="83"/>
      <c r="I43" s="83"/>
      <c r="J43" s="83"/>
      <c r="K43" s="83"/>
      <c r="L43" s="83"/>
      <c r="M43" s="83"/>
      <c r="N43" s="83"/>
      <c r="O43" s="83"/>
      <c r="P43" s="47"/>
      <c r="Q43" s="47"/>
      <c r="R43" s="47"/>
      <c r="S43" s="47"/>
      <c r="T43" s="47"/>
      <c r="U43" s="47"/>
    </row>
    <row r="44" spans="1:21" ht="18" customHeight="1" x14ac:dyDescent="0.35">
      <c r="A44" s="83"/>
      <c r="B44" s="83"/>
      <c r="C44" s="83"/>
      <c r="D44" s="83"/>
      <c r="E44" s="83"/>
      <c r="F44" s="83"/>
      <c r="G44" s="83"/>
      <c r="H44" s="83"/>
      <c r="I44" s="83"/>
      <c r="J44" s="83"/>
      <c r="K44" s="83"/>
      <c r="L44" s="83"/>
      <c r="M44" s="83"/>
      <c r="N44" s="83"/>
      <c r="O44" s="83"/>
      <c r="P44" s="47"/>
      <c r="Q44" s="47"/>
      <c r="R44" s="47"/>
      <c r="S44" s="47"/>
      <c r="T44" s="47"/>
      <c r="U44" s="47"/>
    </row>
    <row r="45" spans="1:21" ht="18" customHeight="1" x14ac:dyDescent="0.35">
      <c r="A45" s="83"/>
      <c r="B45" s="83"/>
      <c r="C45" s="83"/>
      <c r="D45" s="83"/>
      <c r="E45" s="83"/>
      <c r="F45" s="83"/>
      <c r="G45" s="83"/>
      <c r="H45" s="83"/>
      <c r="I45" s="83"/>
      <c r="J45" s="83"/>
      <c r="K45" s="83"/>
      <c r="L45" s="83"/>
      <c r="M45" s="83"/>
      <c r="N45" s="83"/>
      <c r="O45" s="83"/>
      <c r="P45" s="47"/>
      <c r="Q45" s="47"/>
      <c r="R45" s="47"/>
      <c r="S45" s="47"/>
      <c r="T45" s="47"/>
      <c r="U45" s="47"/>
    </row>
    <row r="46" spans="1:21" ht="18" customHeight="1" x14ac:dyDescent="0.35">
      <c r="A46" s="83"/>
      <c r="B46" s="83"/>
      <c r="C46" s="83"/>
      <c r="D46" s="83"/>
      <c r="E46" s="83"/>
      <c r="F46" s="83"/>
      <c r="G46" s="83"/>
      <c r="H46" s="83"/>
      <c r="I46" s="83"/>
      <c r="J46" s="83"/>
      <c r="K46" s="83"/>
      <c r="L46" s="83"/>
      <c r="M46" s="83"/>
      <c r="N46" s="83"/>
      <c r="O46" s="83"/>
      <c r="P46" s="47"/>
      <c r="Q46" s="47"/>
      <c r="R46" s="47"/>
      <c r="S46" s="47"/>
      <c r="T46" s="47"/>
      <c r="U46" s="47"/>
    </row>
    <row r="47" spans="1:21" ht="18" customHeight="1" x14ac:dyDescent="0.35">
      <c r="A47" s="83"/>
      <c r="B47" s="83"/>
      <c r="C47" s="83"/>
      <c r="D47" s="83"/>
      <c r="E47" s="83"/>
      <c r="F47" s="83"/>
      <c r="G47" s="83"/>
      <c r="H47" s="83"/>
      <c r="I47" s="83"/>
      <c r="J47" s="83"/>
      <c r="K47" s="83"/>
      <c r="L47" s="83"/>
      <c r="M47" s="83"/>
      <c r="N47" s="83"/>
      <c r="O47" s="83"/>
      <c r="P47" s="47"/>
      <c r="Q47" s="47"/>
      <c r="R47" s="47"/>
      <c r="S47" s="47"/>
      <c r="T47" s="47"/>
      <c r="U47" s="47"/>
    </row>
    <row r="48" spans="1:21" ht="18" customHeight="1" x14ac:dyDescent="0.35">
      <c r="A48" s="83"/>
      <c r="B48" s="83"/>
      <c r="C48" s="83"/>
      <c r="D48" s="83"/>
      <c r="E48" s="83"/>
      <c r="F48" s="83"/>
      <c r="G48" s="83"/>
      <c r="H48" s="83"/>
      <c r="I48" s="83"/>
      <c r="J48" s="83"/>
      <c r="K48" s="83"/>
      <c r="L48" s="83"/>
      <c r="M48" s="83"/>
      <c r="N48" s="83"/>
      <c r="O48" s="83"/>
      <c r="P48" s="47"/>
      <c r="Q48" s="47"/>
      <c r="R48" s="47"/>
      <c r="S48" s="47"/>
      <c r="T48" s="47"/>
      <c r="U48" s="47"/>
    </row>
    <row r="49" spans="1:21" ht="18" customHeight="1" x14ac:dyDescent="0.35">
      <c r="A49" s="83"/>
      <c r="B49" s="83"/>
      <c r="C49" s="83"/>
      <c r="D49" s="83"/>
      <c r="E49" s="83"/>
      <c r="F49" s="83"/>
      <c r="G49" s="83"/>
      <c r="H49" s="83"/>
      <c r="I49" s="83"/>
      <c r="J49" s="83"/>
      <c r="K49" s="83"/>
      <c r="L49" s="83"/>
      <c r="M49" s="83"/>
      <c r="N49" s="83"/>
      <c r="O49" s="83"/>
      <c r="P49" s="47"/>
      <c r="Q49" s="47"/>
      <c r="R49" s="47"/>
      <c r="S49" s="47"/>
      <c r="T49" s="47"/>
      <c r="U49" s="47"/>
    </row>
    <row r="50" spans="1:21" ht="18" customHeight="1" x14ac:dyDescent="0.35">
      <c r="A50" s="83"/>
      <c r="B50" s="83"/>
      <c r="C50" s="83"/>
      <c r="D50" s="83"/>
      <c r="E50" s="83"/>
      <c r="F50" s="83"/>
      <c r="G50" s="83"/>
      <c r="H50" s="83"/>
      <c r="I50" s="83"/>
      <c r="J50" s="83"/>
      <c r="K50" s="83"/>
      <c r="L50" s="83"/>
      <c r="M50" s="83"/>
      <c r="N50" s="83"/>
      <c r="O50" s="83"/>
      <c r="P50" s="47"/>
      <c r="Q50" s="47"/>
      <c r="R50" s="47"/>
      <c r="S50" s="47"/>
      <c r="T50" s="47"/>
      <c r="U50" s="47"/>
    </row>
    <row r="51" spans="1:21" ht="18" customHeight="1" x14ac:dyDescent="0.35">
      <c r="A51" s="83"/>
      <c r="B51" s="83"/>
      <c r="C51" s="83"/>
      <c r="D51" s="83"/>
      <c r="E51" s="83"/>
      <c r="F51" s="83"/>
      <c r="G51" s="83"/>
      <c r="H51" s="83"/>
      <c r="I51" s="83"/>
      <c r="J51" s="83"/>
      <c r="K51" s="83"/>
      <c r="L51" s="83"/>
      <c r="M51" s="83"/>
      <c r="N51" s="83"/>
      <c r="O51" s="83"/>
      <c r="P51" s="47"/>
      <c r="Q51" s="47"/>
      <c r="R51" s="47"/>
      <c r="S51" s="47"/>
      <c r="T51" s="47"/>
      <c r="U51" s="47"/>
    </row>
    <row r="52" spans="1:21" ht="18" customHeight="1" x14ac:dyDescent="0.35">
      <c r="A52" s="83"/>
      <c r="B52" s="83"/>
      <c r="C52" s="83"/>
      <c r="D52" s="83"/>
      <c r="E52" s="83"/>
      <c r="F52" s="83"/>
      <c r="G52" s="83"/>
      <c r="H52" s="83"/>
      <c r="I52" s="83"/>
      <c r="J52" s="83"/>
      <c r="K52" s="83"/>
      <c r="L52" s="83"/>
      <c r="M52" s="83"/>
      <c r="N52" s="83"/>
      <c r="O52" s="83"/>
      <c r="P52" s="47"/>
      <c r="Q52" s="47"/>
      <c r="R52" s="47"/>
      <c r="S52" s="47"/>
      <c r="T52" s="47"/>
      <c r="U52" s="47"/>
    </row>
    <row r="53" spans="1:21" ht="18" customHeight="1" x14ac:dyDescent="0.35">
      <c r="A53" s="83"/>
      <c r="B53" s="83"/>
      <c r="C53" s="83"/>
      <c r="D53" s="83"/>
      <c r="E53" s="83"/>
      <c r="F53" s="83"/>
      <c r="G53" s="83"/>
      <c r="H53" s="83"/>
      <c r="I53" s="83"/>
      <c r="J53" s="83"/>
      <c r="K53" s="83"/>
      <c r="L53" s="83"/>
      <c r="M53" s="83"/>
      <c r="N53" s="83"/>
      <c r="O53" s="83"/>
      <c r="P53" s="47"/>
      <c r="Q53" s="47"/>
      <c r="R53" s="47"/>
      <c r="S53" s="47"/>
      <c r="T53" s="47"/>
      <c r="U53" s="47"/>
    </row>
    <row r="54" spans="1:21" ht="18" customHeight="1" x14ac:dyDescent="0.35">
      <c r="A54" s="83"/>
      <c r="B54" s="83"/>
      <c r="C54" s="83"/>
      <c r="D54" s="83"/>
      <c r="E54" s="83"/>
      <c r="F54" s="83"/>
      <c r="G54" s="83"/>
      <c r="H54" s="83"/>
      <c r="I54" s="83"/>
      <c r="J54" s="83"/>
      <c r="K54" s="83"/>
      <c r="L54" s="83"/>
      <c r="M54" s="83"/>
      <c r="N54" s="83"/>
      <c r="O54" s="83"/>
      <c r="P54" s="47"/>
      <c r="Q54" s="47"/>
      <c r="R54" s="47"/>
      <c r="S54" s="47"/>
      <c r="T54" s="47"/>
      <c r="U54" s="47"/>
    </row>
    <row r="55" spans="1:21" ht="18" customHeight="1" x14ac:dyDescent="0.35">
      <c r="A55" s="83"/>
      <c r="B55" s="83"/>
      <c r="C55" s="83"/>
      <c r="D55" s="83"/>
      <c r="E55" s="83"/>
      <c r="F55" s="83"/>
      <c r="G55" s="83"/>
      <c r="H55" s="83"/>
      <c r="I55" s="83"/>
      <c r="J55" s="83"/>
      <c r="K55" s="83"/>
      <c r="L55" s="83"/>
      <c r="M55" s="83"/>
      <c r="N55" s="83"/>
      <c r="O55" s="83"/>
      <c r="P55" s="47"/>
      <c r="Q55" s="47"/>
      <c r="R55" s="47"/>
      <c r="S55" s="47"/>
      <c r="T55" s="47"/>
      <c r="U55" s="47"/>
    </row>
    <row r="56" spans="1:21" ht="18" customHeight="1" x14ac:dyDescent="0.35">
      <c r="A56" s="83"/>
      <c r="B56" s="83"/>
      <c r="C56" s="83"/>
      <c r="D56" s="83"/>
      <c r="E56" s="83"/>
      <c r="F56" s="83"/>
      <c r="G56" s="83"/>
      <c r="H56" s="83"/>
      <c r="I56" s="83"/>
      <c r="J56" s="83"/>
      <c r="K56" s="83"/>
      <c r="L56" s="83"/>
      <c r="M56" s="83"/>
      <c r="N56" s="83"/>
      <c r="O56" s="83"/>
      <c r="P56" s="47"/>
      <c r="Q56" s="47"/>
      <c r="R56" s="47"/>
      <c r="S56" s="47"/>
      <c r="T56" s="47"/>
      <c r="U56" s="47"/>
    </row>
    <row r="57" spans="1:21" ht="18" customHeight="1" x14ac:dyDescent="0.35">
      <c r="A57" s="83"/>
      <c r="B57" s="83"/>
      <c r="C57" s="83"/>
      <c r="D57" s="83"/>
      <c r="E57" s="83"/>
      <c r="F57" s="83"/>
      <c r="G57" s="83"/>
      <c r="H57" s="83"/>
      <c r="I57" s="83"/>
      <c r="J57" s="83"/>
      <c r="K57" s="83"/>
      <c r="L57" s="83"/>
      <c r="M57" s="83"/>
      <c r="N57" s="83"/>
      <c r="O57" s="83"/>
      <c r="P57" s="47"/>
      <c r="Q57" s="47"/>
      <c r="R57" s="47"/>
      <c r="S57" s="47"/>
      <c r="T57" s="47"/>
      <c r="U57" s="47"/>
    </row>
    <row r="58" spans="1:21" ht="18" customHeight="1" x14ac:dyDescent="0.35">
      <c r="A58" s="83"/>
      <c r="B58" s="83"/>
      <c r="C58" s="83"/>
      <c r="D58" s="83"/>
      <c r="E58" s="83"/>
      <c r="F58" s="83"/>
      <c r="G58" s="83"/>
      <c r="H58" s="83"/>
      <c r="I58" s="83"/>
      <c r="J58" s="83"/>
      <c r="K58" s="83"/>
      <c r="L58" s="83"/>
      <c r="M58" s="83"/>
      <c r="N58" s="83"/>
      <c r="O58" s="83"/>
      <c r="P58" s="47"/>
      <c r="Q58" s="47"/>
      <c r="R58" s="47"/>
      <c r="S58" s="47"/>
      <c r="T58" s="47"/>
      <c r="U58" s="47"/>
    </row>
    <row r="59" spans="1:21" ht="18" customHeight="1" x14ac:dyDescent="0.35">
      <c r="A59" s="83"/>
      <c r="B59" s="83"/>
      <c r="C59" s="83"/>
      <c r="D59" s="83"/>
      <c r="E59" s="83"/>
      <c r="F59" s="83"/>
      <c r="G59" s="83"/>
      <c r="H59" s="83"/>
      <c r="I59" s="83"/>
      <c r="J59" s="83"/>
      <c r="K59" s="83"/>
      <c r="L59" s="83"/>
      <c r="M59" s="83"/>
      <c r="N59" s="83"/>
      <c r="O59" s="83"/>
      <c r="P59" s="47"/>
      <c r="Q59" s="47"/>
      <c r="R59" s="47"/>
      <c r="S59" s="47"/>
      <c r="T59" s="47"/>
      <c r="U59" s="47"/>
    </row>
    <row r="60" spans="1:21" ht="18" customHeight="1" x14ac:dyDescent="0.35">
      <c r="A60" s="83"/>
      <c r="B60" s="83"/>
      <c r="C60" s="83"/>
      <c r="D60" s="83"/>
      <c r="E60" s="83"/>
      <c r="F60" s="83"/>
      <c r="G60" s="83"/>
      <c r="H60" s="83"/>
      <c r="I60" s="83"/>
      <c r="J60" s="83"/>
      <c r="K60" s="83"/>
      <c r="L60" s="83"/>
      <c r="M60" s="83"/>
      <c r="N60" s="83"/>
      <c r="O60" s="83"/>
      <c r="P60" s="47"/>
      <c r="Q60" s="47"/>
      <c r="R60" s="47"/>
      <c r="S60" s="47"/>
      <c r="T60" s="47"/>
      <c r="U60" s="47"/>
    </row>
  </sheetData>
  <mergeCells count="1">
    <mergeCell ref="Q2:U12"/>
  </mergeCells>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40"/>
  <sheetViews>
    <sheetView showGridLines="0" zoomScale="90" zoomScaleNormal="90" workbookViewId="0"/>
  </sheetViews>
  <sheetFormatPr defaultColWidth="8.6328125" defaultRowHeight="14.5" x14ac:dyDescent="0.35"/>
  <cols>
    <col min="1" max="1" width="26" customWidth="1"/>
    <col min="2" max="2" width="10" customWidth="1"/>
    <col min="3" max="3" width="11" customWidth="1"/>
    <col min="4" max="4" width="12" customWidth="1"/>
    <col min="5" max="5" width="9" customWidth="1"/>
    <col min="6" max="6" width="11" customWidth="1"/>
    <col min="7" max="7" width="50" customWidth="1"/>
  </cols>
  <sheetData>
    <row r="1" spans="1:14" ht="32" customHeight="1" x14ac:dyDescent="0.35">
      <c r="A1" s="81" t="s">
        <v>201</v>
      </c>
      <c r="B1" s="81" t="s">
        <v>206</v>
      </c>
      <c r="C1" s="81" t="s">
        <v>207</v>
      </c>
      <c r="D1" s="81" t="s">
        <v>208</v>
      </c>
      <c r="E1" s="81" t="s">
        <v>209</v>
      </c>
      <c r="F1" s="81" t="s">
        <v>251</v>
      </c>
      <c r="G1" s="81" t="s">
        <v>226</v>
      </c>
      <c r="H1" s="47"/>
      <c r="I1" s="171" t="s">
        <v>252</v>
      </c>
      <c r="J1" s="170"/>
      <c r="K1" s="170"/>
      <c r="L1" s="170"/>
      <c r="M1" s="170"/>
      <c r="N1" s="170"/>
    </row>
    <row r="2" spans="1:14" ht="18" customHeight="1" x14ac:dyDescent="0.35">
      <c r="A2" s="83" t="s">
        <v>217</v>
      </c>
      <c r="B2" s="83" t="s">
        <v>253</v>
      </c>
      <c r="C2" s="83">
        <v>430</v>
      </c>
      <c r="D2" s="83">
        <v>300</v>
      </c>
      <c r="E2" s="83">
        <v>30</v>
      </c>
      <c r="F2" s="83">
        <v>150</v>
      </c>
      <c r="G2" s="87" t="s">
        <v>254</v>
      </c>
      <c r="H2" s="47"/>
      <c r="I2" s="170"/>
      <c r="J2" s="170"/>
      <c r="K2" s="170"/>
      <c r="L2" s="170"/>
      <c r="M2" s="170"/>
      <c r="N2" s="170"/>
    </row>
    <row r="3" spans="1:14" ht="18" customHeight="1" x14ac:dyDescent="0.35">
      <c r="A3" s="83"/>
      <c r="B3" s="83"/>
      <c r="C3" s="83"/>
      <c r="D3" s="83"/>
      <c r="E3" s="83"/>
      <c r="F3" s="83"/>
      <c r="G3" s="83"/>
      <c r="H3" s="47"/>
      <c r="I3" s="170"/>
      <c r="J3" s="170"/>
      <c r="K3" s="170"/>
      <c r="L3" s="170"/>
      <c r="M3" s="170"/>
      <c r="N3" s="170"/>
    </row>
    <row r="4" spans="1:14" ht="18" customHeight="1" x14ac:dyDescent="0.35">
      <c r="A4" s="83"/>
      <c r="B4" s="83"/>
      <c r="C4" s="83"/>
      <c r="D4" s="83"/>
      <c r="E4" s="83"/>
      <c r="F4" s="83"/>
      <c r="G4" s="83"/>
      <c r="H4" s="47"/>
      <c r="I4" s="170"/>
      <c r="J4" s="170"/>
      <c r="K4" s="170"/>
      <c r="L4" s="170"/>
      <c r="M4" s="170"/>
      <c r="N4" s="170"/>
    </row>
    <row r="5" spans="1:14" ht="18" customHeight="1" x14ac:dyDescent="0.35">
      <c r="A5" s="83"/>
      <c r="B5" s="83"/>
      <c r="C5" s="83"/>
      <c r="D5" s="83"/>
      <c r="E5" s="83"/>
      <c r="F5" s="83"/>
      <c r="G5" s="83"/>
      <c r="H5" s="47"/>
      <c r="I5" s="170"/>
      <c r="J5" s="170"/>
      <c r="K5" s="170"/>
      <c r="L5" s="170"/>
      <c r="M5" s="170"/>
      <c r="N5" s="170"/>
    </row>
    <row r="6" spans="1:14" ht="18" customHeight="1" x14ac:dyDescent="0.35">
      <c r="A6" s="83"/>
      <c r="B6" s="83"/>
      <c r="C6" s="83"/>
      <c r="D6" s="83"/>
      <c r="E6" s="83"/>
      <c r="F6" s="83"/>
      <c r="G6" s="83"/>
      <c r="H6" s="47"/>
      <c r="I6" s="170"/>
      <c r="J6" s="170"/>
      <c r="K6" s="170"/>
      <c r="L6" s="170"/>
      <c r="M6" s="170"/>
      <c r="N6" s="170"/>
    </row>
    <row r="7" spans="1:14" ht="18" customHeight="1" x14ac:dyDescent="0.35">
      <c r="A7" s="83"/>
      <c r="B7" s="83"/>
      <c r="C7" s="83"/>
      <c r="D7" s="83"/>
      <c r="E7" s="83"/>
      <c r="F7" s="83"/>
      <c r="G7" s="83"/>
      <c r="H7" s="47"/>
      <c r="I7" s="47"/>
      <c r="J7" s="47"/>
      <c r="K7" s="47"/>
      <c r="L7" s="47"/>
      <c r="M7" s="47"/>
      <c r="N7" s="47"/>
    </row>
    <row r="8" spans="1:14" ht="18" customHeight="1" x14ac:dyDescent="0.35">
      <c r="A8" s="83"/>
      <c r="B8" s="83"/>
      <c r="C8" s="83"/>
      <c r="D8" s="83"/>
      <c r="E8" s="83"/>
      <c r="F8" s="83"/>
      <c r="G8" s="83"/>
      <c r="H8" s="47"/>
      <c r="I8" s="47"/>
      <c r="J8" s="47"/>
      <c r="K8" s="47"/>
      <c r="L8" s="47"/>
      <c r="M8" s="47"/>
      <c r="N8" s="47"/>
    </row>
    <row r="9" spans="1:14" ht="18" customHeight="1" x14ac:dyDescent="0.35">
      <c r="A9" s="83"/>
      <c r="B9" s="83"/>
      <c r="C9" s="83"/>
      <c r="D9" s="83"/>
      <c r="E9" s="83"/>
      <c r="F9" s="83"/>
      <c r="G9" s="83"/>
      <c r="H9" s="47"/>
      <c r="I9" s="47"/>
      <c r="J9" s="47"/>
      <c r="K9" s="47"/>
      <c r="L9" s="47"/>
      <c r="M9" s="47"/>
      <c r="N9" s="47"/>
    </row>
    <row r="10" spans="1:14" ht="18" customHeight="1" x14ac:dyDescent="0.35">
      <c r="A10" s="83"/>
      <c r="B10" s="83"/>
      <c r="C10" s="83"/>
      <c r="D10" s="83"/>
      <c r="E10" s="83"/>
      <c r="F10" s="83"/>
      <c r="G10" s="83"/>
      <c r="H10" s="47"/>
      <c r="I10" s="47"/>
      <c r="J10" s="47"/>
      <c r="K10" s="47"/>
      <c r="L10" s="47"/>
      <c r="M10" s="47"/>
      <c r="N10" s="47"/>
    </row>
    <row r="11" spans="1:14" ht="18" customHeight="1" x14ac:dyDescent="0.35">
      <c r="A11" s="83"/>
      <c r="B11" s="83"/>
      <c r="C11" s="83"/>
      <c r="D11" s="83"/>
      <c r="E11" s="83"/>
      <c r="F11" s="83"/>
      <c r="G11" s="83"/>
      <c r="H11" s="47"/>
      <c r="I11" s="47"/>
      <c r="J11" s="47"/>
      <c r="K11" s="47"/>
      <c r="L11" s="47"/>
      <c r="M11" s="47"/>
      <c r="N11" s="47"/>
    </row>
    <row r="12" spans="1:14" ht="18" customHeight="1" x14ac:dyDescent="0.35">
      <c r="A12" s="83"/>
      <c r="B12" s="83"/>
      <c r="C12" s="83"/>
      <c r="D12" s="83"/>
      <c r="E12" s="83"/>
      <c r="F12" s="83"/>
      <c r="G12" s="83"/>
      <c r="H12" s="47"/>
      <c r="I12" s="47"/>
      <c r="J12" s="47"/>
      <c r="K12" s="47"/>
      <c r="L12" s="47"/>
      <c r="M12" s="47"/>
      <c r="N12" s="47"/>
    </row>
    <row r="13" spans="1:14" ht="18" customHeight="1" x14ac:dyDescent="0.35">
      <c r="A13" s="83"/>
      <c r="B13" s="83"/>
      <c r="C13" s="83"/>
      <c r="D13" s="83"/>
      <c r="E13" s="83"/>
      <c r="F13" s="83"/>
      <c r="G13" s="83"/>
      <c r="H13" s="47"/>
      <c r="I13" s="47"/>
      <c r="J13" s="47"/>
      <c r="K13" s="47"/>
      <c r="L13" s="47"/>
      <c r="M13" s="47"/>
      <c r="N13" s="47"/>
    </row>
    <row r="14" spans="1:14" ht="18" customHeight="1" x14ac:dyDescent="0.35">
      <c r="A14" s="83"/>
      <c r="B14" s="83"/>
      <c r="C14" s="83"/>
      <c r="D14" s="83"/>
      <c r="E14" s="83"/>
      <c r="F14" s="83"/>
      <c r="G14" s="83"/>
      <c r="H14" s="47"/>
      <c r="I14" s="47"/>
      <c r="J14" s="47"/>
      <c r="K14" s="47"/>
      <c r="L14" s="47"/>
      <c r="M14" s="47"/>
      <c r="N14" s="47"/>
    </row>
    <row r="15" spans="1:14" ht="18" customHeight="1" x14ac:dyDescent="0.35">
      <c r="A15" s="83"/>
      <c r="B15" s="83"/>
      <c r="C15" s="83"/>
      <c r="D15" s="83"/>
      <c r="E15" s="83"/>
      <c r="F15" s="83"/>
      <c r="G15" s="83"/>
      <c r="H15" s="47"/>
      <c r="I15" s="47"/>
      <c r="J15" s="47"/>
      <c r="K15" s="47"/>
      <c r="L15" s="47"/>
      <c r="M15" s="47"/>
      <c r="N15" s="47"/>
    </row>
    <row r="16" spans="1:14" ht="18" customHeight="1" x14ac:dyDescent="0.35">
      <c r="A16" s="83"/>
      <c r="B16" s="83"/>
      <c r="C16" s="83"/>
      <c r="D16" s="83"/>
      <c r="E16" s="83"/>
      <c r="F16" s="83"/>
      <c r="G16" s="83"/>
      <c r="H16" s="47"/>
      <c r="I16" s="47"/>
      <c r="J16" s="47"/>
      <c r="K16" s="47"/>
      <c r="L16" s="47"/>
      <c r="M16" s="47"/>
      <c r="N16" s="47"/>
    </row>
    <row r="17" spans="1:14" ht="18" customHeight="1" x14ac:dyDescent="0.35">
      <c r="A17" s="83"/>
      <c r="B17" s="83"/>
      <c r="C17" s="83"/>
      <c r="D17" s="83"/>
      <c r="E17" s="83"/>
      <c r="F17" s="83"/>
      <c r="G17" s="83"/>
      <c r="H17" s="47"/>
      <c r="I17" s="47"/>
      <c r="J17" s="47"/>
      <c r="K17" s="47"/>
      <c r="L17" s="47"/>
      <c r="M17" s="47"/>
      <c r="N17" s="47"/>
    </row>
    <row r="18" spans="1:14" ht="18" customHeight="1" x14ac:dyDescent="0.35">
      <c r="A18" s="83"/>
      <c r="B18" s="83"/>
      <c r="C18" s="83"/>
      <c r="D18" s="83"/>
      <c r="E18" s="83"/>
      <c r="F18" s="83"/>
      <c r="G18" s="83"/>
      <c r="H18" s="47"/>
      <c r="I18" s="47"/>
      <c r="J18" s="47"/>
      <c r="K18" s="47"/>
      <c r="L18" s="47"/>
      <c r="M18" s="47"/>
      <c r="N18" s="47"/>
    </row>
    <row r="19" spans="1:14" ht="18" customHeight="1" x14ac:dyDescent="0.35">
      <c r="A19" s="83"/>
      <c r="B19" s="83"/>
      <c r="C19" s="83"/>
      <c r="D19" s="83"/>
      <c r="E19" s="83"/>
      <c r="F19" s="83"/>
      <c r="G19" s="83"/>
      <c r="H19" s="47"/>
      <c r="I19" s="47"/>
      <c r="J19" s="47"/>
      <c r="K19" s="47"/>
      <c r="L19" s="47"/>
      <c r="M19" s="47"/>
      <c r="N19" s="47"/>
    </row>
    <row r="20" spans="1:14" ht="18" customHeight="1" x14ac:dyDescent="0.35">
      <c r="A20" s="83"/>
      <c r="B20" s="83"/>
      <c r="C20" s="83"/>
      <c r="D20" s="83"/>
      <c r="E20" s="83"/>
      <c r="F20" s="83"/>
      <c r="G20" s="83"/>
      <c r="H20" s="47"/>
      <c r="I20" s="47"/>
      <c r="J20" s="47"/>
      <c r="K20" s="47"/>
      <c r="L20" s="47"/>
      <c r="M20" s="47"/>
      <c r="N20" s="47"/>
    </row>
    <row r="21" spans="1:14" ht="18" customHeight="1" x14ac:dyDescent="0.35">
      <c r="A21" s="83"/>
      <c r="B21" s="83"/>
      <c r="C21" s="83"/>
      <c r="D21" s="83"/>
      <c r="E21" s="83"/>
      <c r="F21" s="83"/>
      <c r="G21" s="83"/>
      <c r="H21" s="47"/>
      <c r="I21" s="47"/>
      <c r="J21" s="47"/>
      <c r="K21" s="47"/>
      <c r="L21" s="47"/>
      <c r="M21" s="47"/>
      <c r="N21" s="47"/>
    </row>
    <row r="22" spans="1:14" ht="18" customHeight="1" x14ac:dyDescent="0.35">
      <c r="A22" s="83"/>
      <c r="B22" s="83"/>
      <c r="C22" s="83"/>
      <c r="D22" s="83"/>
      <c r="E22" s="83"/>
      <c r="F22" s="83"/>
      <c r="G22" s="83"/>
      <c r="H22" s="47"/>
      <c r="I22" s="47"/>
      <c r="J22" s="47"/>
      <c r="K22" s="47"/>
      <c r="L22" s="47"/>
      <c r="M22" s="47"/>
      <c r="N22" s="47"/>
    </row>
    <row r="23" spans="1:14" ht="18" customHeight="1" x14ac:dyDescent="0.35">
      <c r="A23" s="83"/>
      <c r="B23" s="83"/>
      <c r="C23" s="83"/>
      <c r="D23" s="83"/>
      <c r="E23" s="83"/>
      <c r="F23" s="83"/>
      <c r="G23" s="83"/>
      <c r="H23" s="47"/>
      <c r="I23" s="47"/>
      <c r="J23" s="47"/>
      <c r="K23" s="47"/>
      <c r="L23" s="47"/>
      <c r="M23" s="47"/>
      <c r="N23" s="47"/>
    </row>
    <row r="24" spans="1:14" ht="18" customHeight="1" x14ac:dyDescent="0.35">
      <c r="A24" s="83"/>
      <c r="B24" s="83"/>
      <c r="C24" s="83"/>
      <c r="D24" s="83"/>
      <c r="E24" s="83"/>
      <c r="F24" s="83"/>
      <c r="G24" s="83"/>
      <c r="H24" s="47"/>
      <c r="I24" s="47"/>
      <c r="J24" s="47"/>
      <c r="K24" s="47"/>
      <c r="L24" s="47"/>
      <c r="M24" s="47"/>
      <c r="N24" s="47"/>
    </row>
    <row r="25" spans="1:14" ht="18" customHeight="1" x14ac:dyDescent="0.35">
      <c r="A25" s="83"/>
      <c r="B25" s="83"/>
      <c r="C25" s="83"/>
      <c r="D25" s="83"/>
      <c r="E25" s="83"/>
      <c r="F25" s="83"/>
      <c r="G25" s="83"/>
      <c r="H25" s="47"/>
      <c r="I25" s="47"/>
      <c r="J25" s="47"/>
      <c r="K25" s="47"/>
      <c r="L25" s="47"/>
      <c r="M25" s="47"/>
      <c r="N25" s="47"/>
    </row>
    <row r="26" spans="1:14" ht="18" customHeight="1" x14ac:dyDescent="0.35">
      <c r="A26" s="83"/>
      <c r="B26" s="83"/>
      <c r="C26" s="83"/>
      <c r="D26" s="83"/>
      <c r="E26" s="83"/>
      <c r="F26" s="83"/>
      <c r="G26" s="83"/>
      <c r="H26" s="47"/>
      <c r="I26" s="47"/>
      <c r="J26" s="47"/>
      <c r="K26" s="47"/>
      <c r="L26" s="47"/>
      <c r="M26" s="47"/>
      <c r="N26" s="47"/>
    </row>
    <row r="27" spans="1:14" ht="18" customHeight="1" x14ac:dyDescent="0.35">
      <c r="A27" s="83"/>
      <c r="B27" s="83"/>
      <c r="C27" s="83"/>
      <c r="D27" s="83"/>
      <c r="E27" s="83"/>
      <c r="F27" s="83"/>
      <c r="G27" s="83"/>
      <c r="H27" s="47"/>
      <c r="I27" s="47"/>
      <c r="J27" s="47"/>
      <c r="K27" s="47"/>
      <c r="L27" s="47"/>
      <c r="M27" s="47"/>
      <c r="N27" s="47"/>
    </row>
    <row r="28" spans="1:14" ht="18" customHeight="1" x14ac:dyDescent="0.35">
      <c r="A28" s="83"/>
      <c r="B28" s="83"/>
      <c r="C28" s="83"/>
      <c r="D28" s="83"/>
      <c r="E28" s="83"/>
      <c r="F28" s="83"/>
      <c r="G28" s="83"/>
      <c r="H28" s="47"/>
      <c r="I28" s="47"/>
      <c r="J28" s="47"/>
      <c r="K28" s="47"/>
      <c r="L28" s="47"/>
      <c r="M28" s="47"/>
      <c r="N28" s="47"/>
    </row>
    <row r="29" spans="1:14" ht="18" customHeight="1" x14ac:dyDescent="0.35">
      <c r="A29" s="83"/>
      <c r="B29" s="83"/>
      <c r="C29" s="83"/>
      <c r="D29" s="83"/>
      <c r="E29" s="83"/>
      <c r="F29" s="83"/>
      <c r="G29" s="83"/>
      <c r="H29" s="47"/>
      <c r="I29" s="47"/>
      <c r="J29" s="47"/>
      <c r="K29" s="47"/>
      <c r="L29" s="47"/>
      <c r="M29" s="47"/>
      <c r="N29" s="47"/>
    </row>
    <row r="30" spans="1:14" ht="18" customHeight="1" x14ac:dyDescent="0.35">
      <c r="A30" s="83"/>
      <c r="B30" s="83"/>
      <c r="C30" s="83"/>
      <c r="D30" s="83"/>
      <c r="E30" s="83"/>
      <c r="F30" s="83"/>
      <c r="G30" s="83"/>
      <c r="H30" s="47"/>
      <c r="I30" s="47"/>
      <c r="J30" s="47"/>
      <c r="K30" s="47"/>
      <c r="L30" s="47"/>
      <c r="M30" s="47"/>
      <c r="N30" s="47"/>
    </row>
    <row r="31" spans="1:14" ht="18" customHeight="1" x14ac:dyDescent="0.35">
      <c r="A31" s="83"/>
      <c r="B31" s="83"/>
      <c r="C31" s="83"/>
      <c r="D31" s="83"/>
      <c r="E31" s="83"/>
      <c r="F31" s="83"/>
      <c r="G31" s="83"/>
      <c r="H31" s="47"/>
      <c r="I31" s="47"/>
      <c r="J31" s="47"/>
      <c r="K31" s="47"/>
      <c r="L31" s="47"/>
      <c r="M31" s="47"/>
      <c r="N31" s="47"/>
    </row>
    <row r="32" spans="1:14" ht="18" customHeight="1" x14ac:dyDescent="0.35">
      <c r="A32" s="83"/>
      <c r="B32" s="83"/>
      <c r="C32" s="83"/>
      <c r="D32" s="83"/>
      <c r="E32" s="83"/>
      <c r="F32" s="83"/>
      <c r="G32" s="83"/>
      <c r="H32" s="47"/>
      <c r="I32" s="47"/>
      <c r="J32" s="47"/>
      <c r="K32" s="47"/>
      <c r="L32" s="47"/>
      <c r="M32" s="47"/>
      <c r="N32" s="47"/>
    </row>
    <row r="33" spans="1:14" ht="18" customHeight="1" x14ac:dyDescent="0.35">
      <c r="A33" s="83"/>
      <c r="B33" s="83"/>
      <c r="C33" s="83"/>
      <c r="D33" s="83"/>
      <c r="E33" s="83"/>
      <c r="F33" s="83"/>
      <c r="G33" s="83"/>
      <c r="H33" s="47"/>
      <c r="I33" s="47"/>
      <c r="J33" s="47"/>
      <c r="K33" s="47"/>
      <c r="L33" s="47"/>
      <c r="M33" s="47"/>
      <c r="N33" s="47"/>
    </row>
    <row r="34" spans="1:14" ht="18" customHeight="1" x14ac:dyDescent="0.35">
      <c r="A34" s="83"/>
      <c r="B34" s="83"/>
      <c r="C34" s="83"/>
      <c r="D34" s="83"/>
      <c r="E34" s="83"/>
      <c r="F34" s="83"/>
      <c r="G34" s="83"/>
      <c r="H34" s="47"/>
      <c r="I34" s="47"/>
      <c r="J34" s="47"/>
      <c r="K34" s="47"/>
      <c r="L34" s="47"/>
      <c r="M34" s="47"/>
      <c r="N34" s="47"/>
    </row>
    <row r="35" spans="1:14" ht="18" customHeight="1" x14ac:dyDescent="0.35">
      <c r="A35" s="83"/>
      <c r="B35" s="83"/>
      <c r="C35" s="83"/>
      <c r="D35" s="83"/>
      <c r="E35" s="83"/>
      <c r="F35" s="83"/>
      <c r="G35" s="83"/>
      <c r="H35" s="47"/>
      <c r="I35" s="47"/>
      <c r="J35" s="47"/>
      <c r="K35" s="47"/>
      <c r="L35" s="47"/>
      <c r="M35" s="47"/>
      <c r="N35" s="47"/>
    </row>
    <row r="36" spans="1:14" ht="18" customHeight="1" x14ac:dyDescent="0.35">
      <c r="A36" s="83"/>
      <c r="B36" s="83"/>
      <c r="C36" s="83"/>
      <c r="D36" s="83"/>
      <c r="E36" s="83"/>
      <c r="F36" s="83"/>
      <c r="G36" s="83"/>
      <c r="H36" s="47"/>
      <c r="I36" s="47"/>
      <c r="J36" s="47"/>
      <c r="K36" s="47"/>
      <c r="L36" s="47"/>
      <c r="M36" s="47"/>
      <c r="N36" s="47"/>
    </row>
    <row r="37" spans="1:14" ht="18" customHeight="1" x14ac:dyDescent="0.35">
      <c r="A37" s="83"/>
      <c r="B37" s="83"/>
      <c r="C37" s="83"/>
      <c r="D37" s="83"/>
      <c r="E37" s="83"/>
      <c r="F37" s="83"/>
      <c r="G37" s="83"/>
      <c r="H37" s="47"/>
      <c r="I37" s="47"/>
      <c r="J37" s="47"/>
      <c r="K37" s="47"/>
      <c r="L37" s="47"/>
      <c r="M37" s="47"/>
      <c r="N37" s="47"/>
    </row>
    <row r="38" spans="1:14" ht="18" customHeight="1" x14ac:dyDescent="0.35">
      <c r="A38" s="83"/>
      <c r="B38" s="83"/>
      <c r="C38" s="83"/>
      <c r="D38" s="83"/>
      <c r="E38" s="83"/>
      <c r="F38" s="83"/>
      <c r="G38" s="83"/>
      <c r="H38" s="47"/>
      <c r="I38" s="47"/>
      <c r="J38" s="47"/>
      <c r="K38" s="47"/>
      <c r="L38" s="47"/>
      <c r="M38" s="47"/>
      <c r="N38" s="47"/>
    </row>
    <row r="39" spans="1:14" ht="18" customHeight="1" x14ac:dyDescent="0.35">
      <c r="A39" s="83"/>
      <c r="B39" s="83"/>
      <c r="C39" s="83"/>
      <c r="D39" s="83"/>
      <c r="E39" s="83"/>
      <c r="F39" s="83"/>
      <c r="G39" s="83"/>
      <c r="H39" s="47"/>
      <c r="I39" s="47"/>
      <c r="J39" s="47"/>
      <c r="K39" s="47"/>
      <c r="L39" s="47"/>
      <c r="M39" s="47"/>
      <c r="N39" s="47"/>
    </row>
    <row r="40" spans="1:14" ht="18" customHeight="1" x14ac:dyDescent="0.35">
      <c r="A40" s="83"/>
      <c r="B40" s="83"/>
      <c r="C40" s="83"/>
      <c r="D40" s="83"/>
      <c r="E40" s="83"/>
      <c r="F40" s="83"/>
      <c r="G40" s="83"/>
      <c r="H40" s="47"/>
      <c r="I40" s="47"/>
      <c r="J40" s="47"/>
      <c r="K40" s="47"/>
      <c r="L40" s="47"/>
      <c r="M40" s="47"/>
      <c r="N40" s="47"/>
    </row>
  </sheetData>
  <mergeCells count="1">
    <mergeCell ref="I1:N6"/>
  </mergeCells>
  <pageMargins left="0.4" right="0.4" top="0.5" bottom="0.5"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49"/>
  <sheetViews>
    <sheetView showGridLines="0" zoomScale="90" zoomScaleNormal="90" workbookViewId="0"/>
  </sheetViews>
  <sheetFormatPr defaultColWidth="8.6328125" defaultRowHeight="14.5" x14ac:dyDescent="0.35"/>
  <cols>
    <col min="1" max="1" width="44" customWidth="1"/>
    <col min="2" max="10" width="26" customWidth="1"/>
  </cols>
  <sheetData>
    <row r="1" spans="1:10" ht="28" customHeight="1" x14ac:dyDescent="0.5">
      <c r="A1" s="46" t="s">
        <v>255</v>
      </c>
      <c r="B1" s="47"/>
      <c r="C1" s="47"/>
      <c r="D1" s="47"/>
      <c r="E1" s="47"/>
      <c r="F1" s="47"/>
      <c r="G1" s="47"/>
      <c r="H1" s="47"/>
      <c r="I1" s="47"/>
      <c r="J1" s="47"/>
    </row>
    <row r="2" spans="1:10" x14ac:dyDescent="0.35">
      <c r="A2" s="88" t="s">
        <v>256</v>
      </c>
      <c r="B2" s="47"/>
      <c r="C2" s="47"/>
      <c r="D2" s="47"/>
      <c r="E2" s="47"/>
      <c r="F2" s="47"/>
      <c r="G2" s="47"/>
      <c r="H2" s="47"/>
      <c r="I2" s="47"/>
      <c r="J2" s="47"/>
    </row>
    <row r="3" spans="1:10" ht="20" customHeight="1" x14ac:dyDescent="0.35">
      <c r="A3" s="89" t="s">
        <v>257</v>
      </c>
      <c r="B3" s="89" t="s">
        <v>258</v>
      </c>
      <c r="C3" s="89" t="s">
        <v>259</v>
      </c>
      <c r="D3" s="47"/>
      <c r="E3" s="47"/>
      <c r="F3" s="47"/>
      <c r="G3" s="47"/>
      <c r="H3" s="47"/>
      <c r="I3" s="47"/>
      <c r="J3" s="47"/>
    </row>
    <row r="4" spans="1:10" ht="15" customHeight="1" x14ac:dyDescent="0.35">
      <c r="A4" s="90" t="s">
        <v>260</v>
      </c>
      <c r="B4" s="91">
        <v>101325</v>
      </c>
      <c r="C4" s="92" t="s">
        <v>261</v>
      </c>
      <c r="D4" s="47"/>
      <c r="E4" s="47"/>
      <c r="F4" s="47"/>
      <c r="G4" s="47"/>
      <c r="H4" s="47"/>
      <c r="I4" s="47"/>
      <c r="J4" s="47"/>
    </row>
    <row r="5" spans="1:10" ht="15" customHeight="1" x14ac:dyDescent="0.35">
      <c r="A5" s="90" t="s">
        <v>262</v>
      </c>
      <c r="B5" s="91">
        <v>8314</v>
      </c>
      <c r="C5" s="92"/>
      <c r="D5" s="47"/>
      <c r="E5" s="47"/>
      <c r="F5" s="47"/>
      <c r="G5" s="47"/>
      <c r="H5" s="47"/>
      <c r="I5" s="47"/>
      <c r="J5" s="47"/>
    </row>
    <row r="6" spans="1:10" ht="15" customHeight="1" x14ac:dyDescent="0.35">
      <c r="A6" s="90" t="s">
        <v>263</v>
      </c>
      <c r="B6" s="91">
        <v>100</v>
      </c>
      <c r="C6" s="92" t="s">
        <v>264</v>
      </c>
      <c r="D6" s="47"/>
      <c r="E6" s="47"/>
      <c r="F6" s="47"/>
      <c r="G6" s="47"/>
      <c r="H6" s="47"/>
      <c r="I6" s="47"/>
      <c r="J6" s="47"/>
    </row>
    <row r="7" spans="1:10" ht="15" customHeight="1" x14ac:dyDescent="0.35">
      <c r="A7" s="90" t="s">
        <v>265</v>
      </c>
      <c r="B7" s="91">
        <v>0.1</v>
      </c>
      <c r="C7" s="92" t="s">
        <v>266</v>
      </c>
      <c r="D7" s="47"/>
      <c r="E7" s="47"/>
      <c r="F7" s="47"/>
      <c r="G7" s="47"/>
      <c r="H7" s="47"/>
      <c r="I7" s="47"/>
      <c r="J7" s="47"/>
    </row>
    <row r="8" spans="1:10" ht="15" customHeight="1" x14ac:dyDescent="0.35">
      <c r="A8" s="90" t="s">
        <v>267</v>
      </c>
      <c r="B8" s="91">
        <v>0.03</v>
      </c>
      <c r="C8" s="92" t="s">
        <v>268</v>
      </c>
      <c r="D8" s="47"/>
      <c r="E8" s="47"/>
      <c r="F8" s="47"/>
      <c r="G8" s="47"/>
      <c r="H8" s="47"/>
      <c r="I8" s="47"/>
      <c r="J8" s="47"/>
    </row>
    <row r="9" spans="1:10" ht="15" customHeight="1" x14ac:dyDescent="0.35">
      <c r="A9" s="90" t="s">
        <v>269</v>
      </c>
      <c r="B9" s="91">
        <v>293</v>
      </c>
      <c r="C9" s="92" t="s">
        <v>270</v>
      </c>
      <c r="D9" s="47"/>
      <c r="E9" s="47"/>
      <c r="F9" s="47"/>
      <c r="G9" s="47"/>
      <c r="H9" s="47"/>
      <c r="I9" s="47"/>
      <c r="J9" s="47"/>
    </row>
    <row r="10" spans="1:10" ht="15" customHeight="1" x14ac:dyDescent="0.35">
      <c r="A10" s="90" t="s">
        <v>271</v>
      </c>
      <c r="B10" s="91">
        <v>4.1599999999999997E-4</v>
      </c>
      <c r="C10" s="92" t="s">
        <v>272</v>
      </c>
      <c r="D10" s="47"/>
      <c r="E10" s="47"/>
      <c r="F10" s="47"/>
      <c r="G10" s="47"/>
      <c r="H10" s="47"/>
      <c r="I10" s="47"/>
      <c r="J10" s="47"/>
    </row>
    <row r="11" spans="1:10" ht="15" customHeight="1" x14ac:dyDescent="0.35">
      <c r="A11" s="90" t="s">
        <v>273</v>
      </c>
      <c r="B11" s="91">
        <v>0.5</v>
      </c>
      <c r="C11" s="92" t="s">
        <v>274</v>
      </c>
      <c r="D11" s="47"/>
      <c r="E11" s="47"/>
      <c r="F11" s="47"/>
      <c r="G11" s="47"/>
      <c r="H11" s="47"/>
      <c r="I11" s="47"/>
      <c r="J11" s="47"/>
    </row>
    <row r="12" spans="1:10" x14ac:dyDescent="0.35">
      <c r="A12" s="41" t="s">
        <v>275</v>
      </c>
      <c r="B12" s="93">
        <v>3</v>
      </c>
      <c r="C12" s="88" t="s">
        <v>276</v>
      </c>
      <c r="D12" s="47"/>
      <c r="E12" s="47"/>
      <c r="F12" s="47"/>
      <c r="G12" s="47"/>
      <c r="H12" s="47"/>
      <c r="I12" s="47"/>
      <c r="J12" s="47"/>
    </row>
    <row r="13" spans="1:10" ht="15" customHeight="1" x14ac:dyDescent="0.35">
      <c r="A13" s="94" t="s">
        <v>277</v>
      </c>
      <c r="B13" s="47"/>
      <c r="C13" s="47"/>
      <c r="D13" s="47"/>
      <c r="E13" s="47"/>
      <c r="F13" s="47"/>
      <c r="G13" s="47"/>
      <c r="H13" s="47"/>
      <c r="I13" s="47"/>
      <c r="J13" s="47"/>
    </row>
    <row r="14" spans="1:10" ht="20" customHeight="1" x14ac:dyDescent="0.35">
      <c r="A14" s="89" t="s">
        <v>278</v>
      </c>
      <c r="B14" s="89" t="s">
        <v>172</v>
      </c>
      <c r="C14" s="95"/>
      <c r="D14" s="47"/>
      <c r="E14" s="47"/>
      <c r="F14" s="47"/>
      <c r="G14" s="47"/>
      <c r="H14" s="47"/>
      <c r="I14" s="47"/>
      <c r="J14" s="47"/>
    </row>
    <row r="15" spans="1:10" ht="15" customHeight="1" x14ac:dyDescent="0.35">
      <c r="A15" s="90" t="s">
        <v>68</v>
      </c>
      <c r="B15" s="91">
        <v>0.25</v>
      </c>
      <c r="C15" s="92" t="s">
        <v>279</v>
      </c>
      <c r="D15" s="47"/>
      <c r="E15" s="47"/>
      <c r="F15" s="47"/>
      <c r="G15" s="47"/>
      <c r="H15" s="47"/>
      <c r="I15" s="47"/>
      <c r="J15" s="47"/>
    </row>
    <row r="16" spans="1:10" ht="15" customHeight="1" x14ac:dyDescent="0.35">
      <c r="A16" s="90" t="s">
        <v>69</v>
      </c>
      <c r="B16" s="91">
        <v>0.25</v>
      </c>
      <c r="C16" s="47"/>
      <c r="D16" s="47"/>
      <c r="E16" s="47"/>
      <c r="F16" s="47"/>
      <c r="G16" s="47"/>
      <c r="H16" s="47"/>
      <c r="I16" s="47"/>
      <c r="J16" s="47"/>
    </row>
    <row r="17" spans="1:10" ht="15" customHeight="1" x14ac:dyDescent="0.35">
      <c r="A17" s="90" t="s">
        <v>70</v>
      </c>
      <c r="B17" s="91">
        <v>0.5</v>
      </c>
      <c r="C17" s="47"/>
      <c r="D17" s="47"/>
      <c r="E17" s="47"/>
      <c r="F17" s="47"/>
      <c r="G17" s="47"/>
      <c r="H17" s="47"/>
      <c r="I17" s="47"/>
      <c r="J17" s="47"/>
    </row>
    <row r="18" spans="1:10" x14ac:dyDescent="0.35">
      <c r="A18" s="47"/>
      <c r="B18" s="47"/>
      <c r="C18" s="47"/>
      <c r="D18" s="47"/>
      <c r="E18" s="47"/>
      <c r="F18" s="47"/>
      <c r="G18" s="47"/>
      <c r="H18" s="47"/>
      <c r="I18" s="47"/>
      <c r="J18" s="47"/>
    </row>
    <row r="19" spans="1:10" x14ac:dyDescent="0.35">
      <c r="A19" s="47"/>
      <c r="B19" s="47"/>
      <c r="C19" s="47"/>
      <c r="D19" s="47"/>
      <c r="E19" s="47"/>
      <c r="F19" s="47"/>
      <c r="G19" s="47"/>
      <c r="H19" s="47"/>
      <c r="I19" s="47"/>
      <c r="J19" s="47"/>
    </row>
    <row r="20" spans="1:10" ht="15" customHeight="1" x14ac:dyDescent="0.35">
      <c r="A20" s="94" t="s">
        <v>280</v>
      </c>
      <c r="B20" s="47"/>
      <c r="C20" s="47"/>
      <c r="D20" s="47"/>
      <c r="E20" s="47"/>
      <c r="F20" s="47"/>
      <c r="G20" s="47"/>
      <c r="H20" s="47"/>
      <c r="I20" s="47"/>
      <c r="J20" s="47"/>
    </row>
    <row r="21" spans="1:10" ht="20" customHeight="1" x14ac:dyDescent="0.35">
      <c r="A21" s="89" t="s">
        <v>281</v>
      </c>
      <c r="B21" s="81" t="s">
        <v>282</v>
      </c>
      <c r="C21" s="81" t="s">
        <v>283</v>
      </c>
      <c r="D21" s="81" t="s">
        <v>284</v>
      </c>
      <c r="E21" s="81" t="s">
        <v>285</v>
      </c>
      <c r="F21" s="81" t="s">
        <v>286</v>
      </c>
      <c r="G21" s="81" t="s">
        <v>287</v>
      </c>
      <c r="H21" s="81" t="s">
        <v>288</v>
      </c>
      <c r="I21" s="81" t="s">
        <v>289</v>
      </c>
      <c r="J21" s="81" t="s">
        <v>290</v>
      </c>
    </row>
    <row r="22" spans="1:10" ht="20" customHeight="1" x14ac:dyDescent="0.35">
      <c r="A22" s="96" t="s">
        <v>68</v>
      </c>
      <c r="B22" s="97" t="s">
        <v>291</v>
      </c>
      <c r="C22" s="97" t="s">
        <v>292</v>
      </c>
      <c r="D22" s="97" t="s">
        <v>293</v>
      </c>
      <c r="E22" s="97" t="s">
        <v>17</v>
      </c>
      <c r="F22" s="97" t="s">
        <v>294</v>
      </c>
      <c r="G22" s="97" t="s">
        <v>295</v>
      </c>
      <c r="H22" s="97" t="s">
        <v>17</v>
      </c>
      <c r="I22" s="97" t="s">
        <v>17</v>
      </c>
      <c r="J22" s="97" t="s">
        <v>17</v>
      </c>
    </row>
    <row r="23" spans="1:10" ht="20" customHeight="1" x14ac:dyDescent="0.35">
      <c r="A23" s="96" t="s">
        <v>69</v>
      </c>
      <c r="B23" s="97" t="s">
        <v>296</v>
      </c>
      <c r="C23" s="97" t="s">
        <v>297</v>
      </c>
      <c r="D23" s="97" t="s">
        <v>297</v>
      </c>
      <c r="E23" s="97" t="s">
        <v>22</v>
      </c>
      <c r="F23" s="97" t="s">
        <v>298</v>
      </c>
      <c r="G23" s="97" t="s">
        <v>298</v>
      </c>
      <c r="H23" s="97" t="s">
        <v>299</v>
      </c>
      <c r="I23" s="97" t="s">
        <v>299</v>
      </c>
      <c r="J23" s="97" t="s">
        <v>299</v>
      </c>
    </row>
    <row r="24" spans="1:10" ht="20" customHeight="1" x14ac:dyDescent="0.35">
      <c r="A24" s="96" t="s">
        <v>70</v>
      </c>
      <c r="B24" s="97" t="s">
        <v>300</v>
      </c>
      <c r="C24" s="97" t="s">
        <v>300</v>
      </c>
      <c r="D24" s="97" t="s">
        <v>27</v>
      </c>
      <c r="E24" s="97" t="s">
        <v>27</v>
      </c>
      <c r="F24" s="97" t="s">
        <v>27</v>
      </c>
      <c r="G24" s="97" t="s">
        <v>27</v>
      </c>
      <c r="H24" s="97" t="s">
        <v>301</v>
      </c>
      <c r="I24" s="97" t="s">
        <v>301</v>
      </c>
      <c r="J24" s="97" t="s">
        <v>301</v>
      </c>
    </row>
    <row r="25" spans="1:10" x14ac:dyDescent="0.35">
      <c r="A25" s="47"/>
      <c r="B25" s="47"/>
      <c r="C25" s="47"/>
      <c r="D25" s="47"/>
      <c r="E25" s="47"/>
      <c r="F25" s="47"/>
      <c r="G25" s="47"/>
      <c r="H25" s="47"/>
      <c r="I25" s="47"/>
      <c r="J25" s="47"/>
    </row>
    <row r="26" spans="1:10" ht="15" customHeight="1" x14ac:dyDescent="0.35">
      <c r="A26" s="92" t="s">
        <v>302</v>
      </c>
      <c r="B26" s="47"/>
      <c r="C26" s="47"/>
      <c r="D26" s="47"/>
      <c r="E26" s="47"/>
      <c r="F26" s="47"/>
      <c r="G26" s="47"/>
      <c r="H26" s="47"/>
      <c r="I26" s="47"/>
      <c r="J26" s="47"/>
    </row>
    <row r="27" spans="1:10" x14ac:dyDescent="0.35">
      <c r="A27" s="47"/>
      <c r="B27" s="47"/>
      <c r="C27" s="47"/>
      <c r="D27" s="47"/>
      <c r="E27" s="47"/>
      <c r="F27" s="47"/>
      <c r="G27" s="47"/>
      <c r="H27" s="47"/>
      <c r="I27" s="47"/>
      <c r="J27" s="47"/>
    </row>
    <row r="28" spans="1:10" x14ac:dyDescent="0.35">
      <c r="A28" s="47"/>
      <c r="B28" s="47"/>
      <c r="C28" s="47"/>
      <c r="D28" s="47"/>
      <c r="E28" s="47"/>
      <c r="F28" s="47"/>
      <c r="G28" s="47"/>
      <c r="H28" s="47"/>
      <c r="I28" s="47"/>
      <c r="J28" s="47"/>
    </row>
    <row r="29" spans="1:10" ht="15" customHeight="1" x14ac:dyDescent="0.35">
      <c r="A29" s="94" t="s">
        <v>303</v>
      </c>
      <c r="B29" s="47"/>
      <c r="C29" s="47"/>
      <c r="D29" s="47"/>
      <c r="E29" s="47"/>
      <c r="F29" s="47"/>
      <c r="G29" s="47"/>
      <c r="H29" s="47"/>
      <c r="I29" s="47"/>
      <c r="J29" s="47"/>
    </row>
    <row r="30" spans="1:10" ht="20" customHeight="1" x14ac:dyDescent="0.35">
      <c r="A30" s="89" t="s">
        <v>304</v>
      </c>
      <c r="B30" s="89" t="s">
        <v>305</v>
      </c>
      <c r="C30" s="89" t="s">
        <v>306</v>
      </c>
      <c r="D30" s="47"/>
      <c r="E30" s="47"/>
      <c r="F30" s="47"/>
      <c r="G30" s="47"/>
      <c r="H30" s="47"/>
      <c r="I30" s="47"/>
      <c r="J30" s="47"/>
    </row>
    <row r="31" spans="1:10" ht="15" customHeight="1" x14ac:dyDescent="0.35">
      <c r="A31" s="90">
        <v>0</v>
      </c>
      <c r="B31" s="90" t="s">
        <v>307</v>
      </c>
      <c r="C31" s="90">
        <v>85</v>
      </c>
      <c r="D31" s="47"/>
      <c r="E31" s="47"/>
      <c r="F31" s="47"/>
      <c r="G31" s="47"/>
      <c r="H31" s="47"/>
      <c r="I31" s="47"/>
      <c r="J31" s="47"/>
    </row>
    <row r="32" spans="1:10" ht="15" customHeight="1" x14ac:dyDescent="0.35">
      <c r="A32" s="90">
        <v>85</v>
      </c>
      <c r="B32" s="90" t="s">
        <v>308</v>
      </c>
      <c r="C32" s="90">
        <v>85</v>
      </c>
      <c r="D32" s="47"/>
      <c r="E32" s="47"/>
      <c r="F32" s="47"/>
      <c r="G32" s="47"/>
      <c r="H32" s="47"/>
      <c r="I32" s="47"/>
      <c r="J32" s="47"/>
    </row>
    <row r="33" spans="1:10" ht="15" customHeight="1" x14ac:dyDescent="0.35">
      <c r="A33" s="90">
        <v>100</v>
      </c>
      <c r="B33" s="90" t="s">
        <v>309</v>
      </c>
      <c r="C33" s="90">
        <v>100</v>
      </c>
      <c r="D33" s="47"/>
      <c r="E33" s="47"/>
      <c r="F33" s="47"/>
      <c r="G33" s="47"/>
      <c r="H33" s="47"/>
      <c r="I33" s="47"/>
      <c r="J33" s="47"/>
    </row>
    <row r="34" spans="1:10" ht="15" customHeight="1" x14ac:dyDescent="0.35">
      <c r="A34" s="90">
        <v>135</v>
      </c>
      <c r="B34" s="90" t="s">
        <v>310</v>
      </c>
      <c r="C34" s="90">
        <v>135</v>
      </c>
      <c r="D34" s="47"/>
      <c r="E34" s="47"/>
      <c r="F34" s="47"/>
      <c r="G34" s="47"/>
      <c r="H34" s="47"/>
      <c r="I34" s="47"/>
      <c r="J34" s="47"/>
    </row>
    <row r="35" spans="1:10" ht="15" customHeight="1" x14ac:dyDescent="0.35">
      <c r="A35" s="90">
        <v>200</v>
      </c>
      <c r="B35" s="90" t="s">
        <v>311</v>
      </c>
      <c r="C35" s="90">
        <v>200</v>
      </c>
      <c r="D35" s="47"/>
      <c r="E35" s="47"/>
      <c r="F35" s="47"/>
      <c r="G35" s="47"/>
      <c r="H35" s="47"/>
      <c r="I35" s="47"/>
      <c r="J35" s="47"/>
    </row>
    <row r="36" spans="1:10" ht="15" customHeight="1" x14ac:dyDescent="0.35">
      <c r="A36" s="90">
        <v>300</v>
      </c>
      <c r="B36" s="90" t="s">
        <v>312</v>
      </c>
      <c r="C36" s="90">
        <v>300</v>
      </c>
      <c r="D36" s="47"/>
      <c r="E36" s="47"/>
      <c r="F36" s="47"/>
      <c r="G36" s="47"/>
      <c r="H36" s="47"/>
      <c r="I36" s="47"/>
      <c r="J36" s="47"/>
    </row>
    <row r="37" spans="1:10" ht="15" customHeight="1" x14ac:dyDescent="0.35">
      <c r="A37" s="90">
        <v>450</v>
      </c>
      <c r="B37" s="90" t="s">
        <v>313</v>
      </c>
      <c r="C37" s="90">
        <v>450</v>
      </c>
      <c r="D37" s="47"/>
      <c r="E37" s="47"/>
      <c r="F37" s="47"/>
      <c r="G37" s="47"/>
      <c r="H37" s="47"/>
      <c r="I37" s="47"/>
      <c r="J37" s="47"/>
    </row>
    <row r="38" spans="1:10" x14ac:dyDescent="0.35">
      <c r="A38" s="47"/>
      <c r="B38" s="47"/>
      <c r="C38" s="47"/>
      <c r="D38" s="47"/>
      <c r="E38" s="47"/>
      <c r="F38" s="47"/>
      <c r="G38" s="47"/>
      <c r="H38" s="47"/>
      <c r="I38" s="47"/>
      <c r="J38" s="47"/>
    </row>
    <row r="39" spans="1:10" ht="15" customHeight="1" x14ac:dyDescent="0.35">
      <c r="A39" s="92" t="s">
        <v>314</v>
      </c>
      <c r="B39" s="47"/>
      <c r="C39" s="47"/>
      <c r="D39" s="47"/>
      <c r="E39" s="47"/>
      <c r="F39" s="47"/>
      <c r="G39" s="47"/>
      <c r="H39" s="47"/>
      <c r="I39" s="47"/>
      <c r="J39" s="47"/>
    </row>
    <row r="40" spans="1:10" x14ac:dyDescent="0.35">
      <c r="A40" s="47"/>
      <c r="B40" s="47"/>
      <c r="C40" s="47"/>
      <c r="D40" s="47"/>
      <c r="E40" s="47"/>
      <c r="F40" s="47"/>
      <c r="G40" s="47"/>
      <c r="H40" s="47"/>
      <c r="I40" s="47"/>
      <c r="J40" s="47"/>
    </row>
    <row r="41" spans="1:10" x14ac:dyDescent="0.35">
      <c r="A41" s="94" t="s">
        <v>315</v>
      </c>
      <c r="B41" s="47"/>
      <c r="C41" s="47"/>
      <c r="D41" s="47"/>
      <c r="E41" s="47"/>
      <c r="F41" s="47"/>
      <c r="G41" s="47"/>
      <c r="H41" s="47"/>
      <c r="I41" s="47"/>
      <c r="J41" s="47"/>
    </row>
    <row r="42" spans="1:10" ht="20" customHeight="1" x14ac:dyDescent="0.35">
      <c r="A42" s="95" t="s">
        <v>9</v>
      </c>
      <c r="B42" s="95" t="s">
        <v>316</v>
      </c>
      <c r="C42" s="95" t="s">
        <v>317</v>
      </c>
      <c r="D42" s="95" t="s">
        <v>318</v>
      </c>
      <c r="E42" s="47"/>
      <c r="F42" s="47"/>
      <c r="G42" s="47"/>
      <c r="H42" s="47"/>
      <c r="I42" s="47"/>
      <c r="J42" s="47"/>
    </row>
    <row r="43" spans="1:10" ht="30" customHeight="1" x14ac:dyDescent="0.35">
      <c r="A43" s="98" t="s">
        <v>319</v>
      </c>
      <c r="B43" s="98" t="s">
        <v>320</v>
      </c>
      <c r="C43" s="98" t="s">
        <v>321</v>
      </c>
      <c r="D43" s="98" t="s">
        <v>322</v>
      </c>
      <c r="E43" s="47"/>
      <c r="F43" s="47"/>
      <c r="G43" s="47"/>
      <c r="H43" s="47"/>
      <c r="I43" s="47"/>
      <c r="J43" s="47"/>
    </row>
    <row r="44" spans="1:10" ht="30" customHeight="1" x14ac:dyDescent="0.35">
      <c r="A44" s="98" t="s">
        <v>10</v>
      </c>
      <c r="B44" s="98" t="s">
        <v>323</v>
      </c>
      <c r="C44" s="98" t="s">
        <v>324</v>
      </c>
      <c r="D44" s="98" t="s">
        <v>325</v>
      </c>
      <c r="E44" s="47"/>
      <c r="F44" s="47"/>
      <c r="G44" s="47"/>
      <c r="H44" s="47"/>
      <c r="I44" s="47"/>
      <c r="J44" s="47"/>
    </row>
    <row r="45" spans="1:10" ht="30" customHeight="1" x14ac:dyDescent="0.35">
      <c r="A45" s="98" t="s">
        <v>326</v>
      </c>
      <c r="B45" s="98" t="s">
        <v>327</v>
      </c>
      <c r="C45" s="98" t="s">
        <v>328</v>
      </c>
      <c r="D45" s="98" t="s">
        <v>329</v>
      </c>
      <c r="E45" s="47"/>
      <c r="F45" s="47"/>
      <c r="G45" s="47"/>
      <c r="H45" s="47"/>
      <c r="I45" s="47"/>
      <c r="J45" s="47"/>
    </row>
    <row r="46" spans="1:10" ht="30" customHeight="1" x14ac:dyDescent="0.35">
      <c r="A46" s="98" t="s">
        <v>330</v>
      </c>
      <c r="B46" s="98" t="s">
        <v>327</v>
      </c>
      <c r="C46" s="98" t="s">
        <v>331</v>
      </c>
      <c r="D46" s="98" t="s">
        <v>325</v>
      </c>
      <c r="E46" s="47"/>
      <c r="F46" s="47"/>
      <c r="G46" s="47"/>
      <c r="H46" s="47"/>
      <c r="I46" s="47"/>
      <c r="J46" s="47"/>
    </row>
    <row r="47" spans="1:10" ht="30" customHeight="1" x14ac:dyDescent="0.35">
      <c r="A47" s="98" t="s">
        <v>332</v>
      </c>
      <c r="B47" s="98" t="s">
        <v>333</v>
      </c>
      <c r="C47" s="98" t="s">
        <v>334</v>
      </c>
      <c r="D47" s="98" t="s">
        <v>325</v>
      </c>
      <c r="E47" s="47"/>
      <c r="F47" s="47"/>
      <c r="G47" s="47"/>
      <c r="H47" s="47"/>
      <c r="I47" s="47"/>
      <c r="J47" s="47"/>
    </row>
    <row r="48" spans="1:10" x14ac:dyDescent="0.35">
      <c r="A48" s="47"/>
      <c r="B48" s="47"/>
      <c r="C48" s="47"/>
      <c r="D48" s="47"/>
      <c r="E48" s="47"/>
      <c r="F48" s="47"/>
      <c r="G48" s="47"/>
      <c r="H48" s="47"/>
      <c r="I48" s="47"/>
      <c r="J48" s="47"/>
    </row>
    <row r="49" spans="1:10" x14ac:dyDescent="0.35">
      <c r="A49" s="88" t="s">
        <v>335</v>
      </c>
      <c r="B49" s="47"/>
      <c r="C49" s="47"/>
      <c r="D49" s="47"/>
      <c r="E49" s="47"/>
      <c r="F49" s="47"/>
      <c r="G49" s="47"/>
      <c r="H49" s="47"/>
      <c r="I49" s="47"/>
      <c r="J49" s="47"/>
    </row>
  </sheetData>
  <pageMargins left="0.4" right="0.4" top="0.5" bottom="0.5" header="0.511811023622047" footer="0.511811023622047"/>
  <pageSetup paperSize="9"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496B0"/>
    <pageSetUpPr fitToPage="1"/>
  </sheetPr>
  <dimension ref="B1:AF198"/>
  <sheetViews>
    <sheetView showGridLines="0" zoomScale="90" workbookViewId="0">
      <pane xSplit="2" ySplit="3" topLeftCell="C4" activePane="bottomRight" state="frozen"/>
      <selection pane="topRight"/>
      <selection pane="bottomLeft"/>
      <selection pane="bottomRight"/>
    </sheetView>
  </sheetViews>
  <sheetFormatPr defaultRowHeight="14.5" x14ac:dyDescent="0.35"/>
  <cols>
    <col min="1" max="1" width="2.453125" customWidth="1"/>
    <col min="2" max="2" width="36" customWidth="1"/>
    <col min="3" max="3" width="14" customWidth="1"/>
    <col min="4" max="4" width="50" customWidth="1"/>
    <col min="5" max="12" width="12.453125" customWidth="1"/>
    <col min="13" max="15" width="24" customWidth="1"/>
    <col min="16" max="18" width="12.453125" customWidth="1"/>
    <col min="19" max="19" width="24" customWidth="1"/>
    <col min="20" max="32" width="12.453125" customWidth="1"/>
  </cols>
  <sheetData>
    <row r="1" spans="2:4" ht="30" customHeight="1" x14ac:dyDescent="0.35">
      <c r="B1" s="99" t="s">
        <v>336</v>
      </c>
    </row>
    <row r="2" spans="2:4" x14ac:dyDescent="0.35">
      <c r="B2" s="100" t="s">
        <v>337</v>
      </c>
    </row>
    <row r="4" spans="2:4" ht="24" customHeight="1" x14ac:dyDescent="0.35">
      <c r="B4" s="101" t="s">
        <v>338</v>
      </c>
      <c r="C4" s="102"/>
      <c r="D4" s="102"/>
    </row>
    <row r="5" spans="2:4" x14ac:dyDescent="0.35">
      <c r="B5" s="103" t="s">
        <v>218</v>
      </c>
      <c r="C5" s="104" t="str">
        <f>IF(QZ_Substance="","",IFERROR(IF(INDEX(Substances!$B$2:$B$60,MATCH(QZ_Substance,Substances!$A$2:$A$60,0))="","",INDEX(Substances!$B$2:$B$60,MATCH(QZ_Substance,Substances!$A$2:$A$60,0))),"–"))</f>
        <v>Liquid</v>
      </c>
      <c r="D5" s="105" t="s">
        <v>339</v>
      </c>
    </row>
    <row r="6" spans="2:4" x14ac:dyDescent="0.35">
      <c r="B6" s="103" t="s">
        <v>340</v>
      </c>
      <c r="C6" s="106" t="b">
        <f>IF(QZ_Substance="","",IFERROR(QZ_Phase="Gas","–"))</f>
        <v>0</v>
      </c>
      <c r="D6" s="105"/>
    </row>
    <row r="7" spans="2:4" x14ac:dyDescent="0.35">
      <c r="B7" s="103" t="s">
        <v>341</v>
      </c>
      <c r="C7" s="107">
        <f>IF(QZ_Substance="","",IFERROR(IF(INDEX(Substances!$C$2:$C$60,MATCH(QZ_Substance,Substances!$A$2:$A$60,0))="","",INDEX(Substances!$C$2:$C$60,MATCH(QZ_Substance,Substances!$A$2:$A$60,0))),"–"))</f>
        <v>92.14</v>
      </c>
      <c r="D7" s="105" t="s">
        <v>342</v>
      </c>
    </row>
    <row r="8" spans="2:4" x14ac:dyDescent="0.35">
      <c r="B8" s="103" t="s">
        <v>343</v>
      </c>
      <c r="C8" s="108">
        <f>IF(QZ_Substance="","",IFERROR(IF(INDEX(Substances!$D$2:$D$60,MATCH(QZ_Substance,Substances!$A$2:$A$60,0))="","",INDEX(Substances!$D$2:$D$60,MATCH(QZ_Substance,Substances!$A$2:$A$60,0))),"–"))</f>
        <v>1</v>
      </c>
      <c r="D8" s="105" t="s">
        <v>344</v>
      </c>
    </row>
    <row r="9" spans="2:4" x14ac:dyDescent="0.35">
      <c r="B9" s="103" t="s">
        <v>221</v>
      </c>
      <c r="C9" s="107" t="str">
        <f>IF(QZ_Substance="","",IFERROR(IF(INDEX(Substances!$F$2:$F$60,MATCH(QZ_Substance,Substances!$A$2:$A$60,0))="","",INDEX(Substances!$F$2:$F$60,MATCH(QZ_Substance,Substances!$A$2:$A$60,0))),"–"))</f>
        <v/>
      </c>
      <c r="D9" s="105" t="s">
        <v>21</v>
      </c>
    </row>
    <row r="10" spans="2:4" x14ac:dyDescent="0.35">
      <c r="B10" s="103" t="s">
        <v>345</v>
      </c>
      <c r="C10" s="109">
        <f>IF(QZ_Substance="","",IFERROR(IF(INDEX(Substances!$G$2:$G$60,MATCH(QZ_Substance,Substances!$A$2:$A$60,0))="","",INDEX(Substances!$G$2:$G$60,MATCH(QZ_Substance,Substances!$A$2:$A$60,0))),"–"))</f>
        <v>867</v>
      </c>
      <c r="D10" s="105" t="s">
        <v>346</v>
      </c>
    </row>
    <row r="11" spans="2:4" x14ac:dyDescent="0.35">
      <c r="B11" s="103" t="s">
        <v>347</v>
      </c>
      <c r="C11" s="110">
        <f>IF(QZ_Substance="","",IFERROR(IF(INDEX(Substances!$H$2:$H$60,MATCH(QZ_Substance,Substances!$A$2:$A$60,0))="","",INDEX(Substances!$H$2:$H$60,MATCH(QZ_Substance,Substances!$A$2:$A$60,0))),"–"))</f>
        <v>110.6</v>
      </c>
      <c r="D11" s="105" t="s">
        <v>348</v>
      </c>
    </row>
    <row r="12" spans="2:4" x14ac:dyDescent="0.35">
      <c r="B12" s="103" t="s">
        <v>349</v>
      </c>
      <c r="C12" s="109">
        <f>IF(QZ_Substance="","",IFERROR(IF(INDEX(Substances!$I$2:$I$60,MATCH(QZ_Substance,Substances!$A$2:$A$60,0))="","",INDEX(Substances!$I$2:$I$60,MATCH(QZ_Substance,Substances!$A$2:$A$60,0))),"–"))</f>
        <v>4</v>
      </c>
      <c r="D12" s="105" t="s">
        <v>348</v>
      </c>
    </row>
    <row r="13" spans="2:4" x14ac:dyDescent="0.35">
      <c r="B13" s="103" t="s">
        <v>350</v>
      </c>
      <c r="C13" s="109">
        <f>IF(QZ_Substance="","",IFERROR(IF(INDEX(Substances!$J$2:$J$60,MATCH(QZ_Substance,Substances!$A$2:$A$60,0))="","",INDEX(Substances!$J$2:$J$60,MATCH(QZ_Substance,Substances!$A$2:$A$60,0))),"–"))</f>
        <v>480</v>
      </c>
      <c r="D13" s="105" t="s">
        <v>348</v>
      </c>
    </row>
    <row r="14" spans="2:4" x14ac:dyDescent="0.35">
      <c r="B14" s="103" t="s">
        <v>161</v>
      </c>
      <c r="C14" s="104" t="str">
        <f>IF(QZ_Substance="","",IFERROR(IF(INDEX(Substances!$K$2:$K$60,MATCH(QZ_Substance,Substances!$A$2:$A$60,0))="","",INDEX(Substances!$K$2:$K$60,MATCH(QZ_Substance,Substances!$A$2:$A$60,0))),"–"))</f>
        <v>IIA</v>
      </c>
      <c r="D14" s="105"/>
    </row>
    <row r="15" spans="2:4" x14ac:dyDescent="0.35">
      <c r="B15" s="103" t="s">
        <v>223</v>
      </c>
      <c r="C15" s="104">
        <f>IF(QZ_Substance="","",IFERROR(IF(INDEX(Substances!$L$2:$L$60,MATCH(QZ_Substance,Substances!$A$2:$A$60,0))="","",INDEX(Substances!$L$2:$L$60,MATCH(QZ_Substance,Substances!$A$2:$A$60,0))),"–"))</f>
        <v>6.9546400000000004</v>
      </c>
      <c r="D15" s="105" t="s">
        <v>351</v>
      </c>
    </row>
    <row r="16" spans="2:4" x14ac:dyDescent="0.35">
      <c r="B16" s="103" t="s">
        <v>224</v>
      </c>
      <c r="C16" s="104">
        <f>IF(QZ_Substance="","",IFERROR(IF(INDEX(Substances!$M$2:$M$60,MATCH(QZ_Substance,Substances!$A$2:$A$60,0))="","",INDEX(Substances!$M$2:$M$60,MATCH(QZ_Substance,Substances!$A$2:$A$60,0))),"–"))</f>
        <v>1344.8</v>
      </c>
      <c r="D16" s="105"/>
    </row>
    <row r="17" spans="2:4" x14ac:dyDescent="0.35">
      <c r="B17" s="103" t="s">
        <v>225</v>
      </c>
      <c r="C17" s="104">
        <f>IF(QZ_Substance="","",IFERROR(IF(INDEX(Substances!$N$2:$N$60,MATCH(QZ_Substance,Substances!$A$2:$A$60,0))="","",INDEX(Substances!$N$2:$N$60,MATCH(QZ_Substance,Substances!$A$2:$A$60,0))),"–"))</f>
        <v>219.482</v>
      </c>
      <c r="D17" s="105"/>
    </row>
    <row r="18" spans="2:4" x14ac:dyDescent="0.35">
      <c r="B18" s="103" t="s">
        <v>352</v>
      </c>
      <c r="C18" s="111">
        <f>IF(QZ_Substance="","",IFERROR(QZ_Temp+273.15,"–"))</f>
        <v>293.14999999999998</v>
      </c>
      <c r="D18" s="105" t="s">
        <v>353</v>
      </c>
    </row>
    <row r="19" spans="2:4" x14ac:dyDescent="0.35">
      <c r="B19" s="103" t="s">
        <v>354</v>
      </c>
      <c r="C19" s="112">
        <f>IF(QZ_Substance="","",IFERROR(IF(QZ_IsGas,"n/a",MIN(101.325,IF(N(QZ_AntA)&lt;&gt;0,0.133322*10^(QZ_AntA-QZ_AntB/(QZ_AntC+QZ_Temp)),101.325*EXP(10.58*(1-(QZ_BP+273.15)/QZ_TK))))),"–"))</f>
        <v>2.9113100964592866</v>
      </c>
      <c r="D19" s="105" t="s">
        <v>355</v>
      </c>
    </row>
    <row r="20" spans="2:4" x14ac:dyDescent="0.35">
      <c r="B20" s="103" t="s">
        <v>356</v>
      </c>
      <c r="C20" s="113">
        <f>IF(QZ_Substance="","",IFERROR(IF(QZ_IsGas,"n/a",QZ_Pv*1000/Tables!$B$4*100),"–"))</f>
        <v>2.8732396708209098</v>
      </c>
      <c r="D20" s="105" t="s">
        <v>357</v>
      </c>
    </row>
    <row r="21" spans="2:4" x14ac:dyDescent="0.35">
      <c r="B21" s="103" t="s">
        <v>358</v>
      </c>
      <c r="C21" s="114">
        <f>IF(QZ_Substance="","",IFERROR(IF(QZ_IsGas,"n/a",QZ_Pv*1000*QZ_M/(Tables!$B$5*QZ_TK)),"–"))</f>
        <v>0.11006183663695218</v>
      </c>
      <c r="D21" s="105" t="s">
        <v>359</v>
      </c>
    </row>
    <row r="22" spans="2:4" x14ac:dyDescent="0.35">
      <c r="B22" s="103" t="s">
        <v>360</v>
      </c>
      <c r="C22" s="114">
        <f>IF(QZ_Substance="","",IFERROR(Tables!$B$10*QZ_M*QZ_LFL,"–"))</f>
        <v>3.8330239999999995E-2</v>
      </c>
      <c r="D22" s="105" t="s">
        <v>346</v>
      </c>
    </row>
    <row r="23" spans="2:4" x14ac:dyDescent="0.35">
      <c r="B23" s="103" t="s">
        <v>361</v>
      </c>
      <c r="C23" s="113">
        <f>IF(QZ_Substance="","",IFERROR(QZ_M/28.96,"–"))</f>
        <v>3.1816298342541436</v>
      </c>
      <c r="D23" s="105" t="s">
        <v>362</v>
      </c>
    </row>
    <row r="24" spans="2:4" x14ac:dyDescent="0.35">
      <c r="B24" s="103" t="s">
        <v>363</v>
      </c>
      <c r="C24" s="106" t="b">
        <f>IF(QZ_Substance="","",IFERROR(QZ_RelDens&gt;1.2,"–"))</f>
        <v>1</v>
      </c>
      <c r="D24" s="105" t="s">
        <v>364</v>
      </c>
    </row>
    <row r="25" spans="2:4" x14ac:dyDescent="0.35">
      <c r="B25" s="103" t="s">
        <v>365</v>
      </c>
      <c r="C25" s="106" t="b">
        <f>IF(QZ_Substance="","",IFERROR(QZ_Location="Outdoor","–"))</f>
        <v>0</v>
      </c>
      <c r="D25" s="105"/>
    </row>
    <row r="26" spans="2:4" x14ac:dyDescent="0.35">
      <c r="B26" s="103" t="s">
        <v>366</v>
      </c>
      <c r="C26" s="111">
        <f>IF(QZ_Substance="","",IFERROR(IF(QZ_Outdoor,QZ_fOut,QZ_fIn),"–"))</f>
        <v>2</v>
      </c>
      <c r="D26" s="105"/>
    </row>
    <row r="27" spans="2:4" x14ac:dyDescent="0.35">
      <c r="B27" s="103" t="s">
        <v>367</v>
      </c>
      <c r="C27" s="115">
        <f>IF(QZ_Substance="","",IFERROR(IF(QZ_Outdoor,Tables!$B$8,QZ_ACH/3600),"–"))</f>
        <v>8.3333333333333339E-4</v>
      </c>
      <c r="D27" s="105" t="s">
        <v>368</v>
      </c>
    </row>
    <row r="28" spans="2:4" x14ac:dyDescent="0.35">
      <c r="B28" s="103" t="s">
        <v>369</v>
      </c>
      <c r="C28" s="115">
        <f>IF(QZ_Substance="","",IFERROR(IF(QZ_Outdoor,Tables!$B$8*Tables!$B$11,QZ_ACHFail/3600),"–"))</f>
        <v>1.3888888888888889E-4</v>
      </c>
      <c r="D28" s="105" t="s">
        <v>370</v>
      </c>
    </row>
    <row r="29" spans="2:4" x14ac:dyDescent="0.35">
      <c r="B29" s="103" t="s">
        <v>371</v>
      </c>
      <c r="C29" s="113">
        <f>IF(QZ_Substance="","",IFERROR(IF(QZ_Outdoor,QZ_UOut,QZ_UIn),"–"))</f>
        <v>0.3</v>
      </c>
      <c r="D29" s="105" t="s">
        <v>372</v>
      </c>
    </row>
    <row r="30" spans="2:4" x14ac:dyDescent="0.35">
      <c r="B30" s="103" t="s">
        <v>373</v>
      </c>
      <c r="C30" s="106" t="b">
        <f>IF(QZ_Substance="","",IFERROR(IF(QZ_IsGas,FALSE,IF(ISNUMBER(QZ_FP),QZ_Temp&lt;QZ_FP-QZ_FPMargin,FALSE)),"–"))</f>
        <v>0</v>
      </c>
      <c r="D30" s="105" t="s">
        <v>374</v>
      </c>
    </row>
    <row r="31" spans="2:4" x14ac:dyDescent="0.35">
      <c r="B31" s="103" t="s">
        <v>375</v>
      </c>
      <c r="C31" s="106" t="b">
        <f>IF(QZ_Substance="","",IFERROR(IF(QZ_IsGas,FALSE,IF(ISNUMBER(QZ_BP),QZ_Temp&gt;=QZ_BP,FALSE)),"–"))</f>
        <v>0</v>
      </c>
      <c r="D31" s="105"/>
    </row>
    <row r="32" spans="2:4" x14ac:dyDescent="0.35">
      <c r="B32" s="103" t="s">
        <v>376</v>
      </c>
      <c r="C32" s="106" t="b">
        <f>IF(QZ_Substance="","",IFERROR(AND(NOT(QZ_IsGas),NOT(QZ_BelowFP)),"–"))</f>
        <v>1</v>
      </c>
      <c r="D32" s="105" t="s">
        <v>377</v>
      </c>
    </row>
    <row r="33" spans="2:4" x14ac:dyDescent="0.35">
      <c r="B33" s="103" t="s">
        <v>378</v>
      </c>
      <c r="C33" s="106" t="str">
        <f>IF(QZ_Substance="","",IFERROR(INDEX(Tables!$B$31:$B$37,MATCH(QZ_AIT-0.001,Tables!$A$31:$A$37,1)),"–"))</f>
        <v>T1</v>
      </c>
      <c r="D33" s="105" t="s">
        <v>379</v>
      </c>
    </row>
    <row r="34" spans="2:4" x14ac:dyDescent="0.35">
      <c r="B34" s="103" t="s">
        <v>380</v>
      </c>
      <c r="C34" s="113">
        <f>IF(QZ_Substance="","",IFERROR(SQRT(QZ_RoomVol/Tables!$B$12/PI()),"–"))</f>
        <v>3.2573500793527996</v>
      </c>
      <c r="D34" s="105" t="s">
        <v>381</v>
      </c>
    </row>
    <row r="36" spans="2:4" ht="24" customHeight="1" x14ac:dyDescent="0.35">
      <c r="B36" s="101" t="s">
        <v>382</v>
      </c>
      <c r="C36" s="102"/>
      <c r="D36" s="102"/>
    </row>
    <row r="37" spans="2:4" x14ac:dyDescent="0.35">
      <c r="B37" s="103" t="s">
        <v>383</v>
      </c>
      <c r="C37" s="116" t="str">
        <f>IF(QZ_Substance="","",IFERROR(IF(QZ_IsGas,QZ_Pressure*100000+Tables!$B$4,"n/a"),"–"))</f>
        <v>n/a</v>
      </c>
      <c r="D37" s="105" t="s">
        <v>384</v>
      </c>
    </row>
    <row r="38" spans="2:4" x14ac:dyDescent="0.35">
      <c r="B38" s="103" t="s">
        <v>385</v>
      </c>
      <c r="C38" s="116" t="str">
        <f>IF(QZ_Substance="","",IFERROR(IF(QZ_IsGas,Tables!$B$4*((QZ_Gamma+1)/2)^(QZ_Gamma/(QZ_Gamma-1)),"n/a"),"–"))</f>
        <v>n/a</v>
      </c>
      <c r="D38" s="105" t="s">
        <v>384</v>
      </c>
    </row>
    <row r="39" spans="2:4" x14ac:dyDescent="0.35">
      <c r="B39" s="103" t="s">
        <v>386</v>
      </c>
      <c r="C39" s="117" t="str">
        <f>IF(QZ_Substance="","",IFERROR(IF(QZ_IsGas,IF(QZ_PAbs&gt;QZ_Pc,QZ_Cd*QZ_HoleArea*0.000001*QZ_PAbs*SQRT(QZ_Gamma*QZ_M/(Tables!$B$5*QZ_TK)*(2/(QZ_Gamma+1))^((QZ_Gamma+1)/(QZ_Gamma-1))),QZ_Cd*QZ_HoleArea*0.000001*QZ_PAbs*SQRT(QZ_M/(Tables!$B$5*QZ_TK)*(2*QZ_Gamma/(QZ_Gamma-1))*(1-(Tables!$B$4/QZ_PAbs)^((QZ_Gamma-1)/QZ_Gamma))*(Tables!$B$4/QZ_PAbs)^(2/QZ_Gamma))),"n/a"),"–"))</f>
        <v>n/a</v>
      </c>
      <c r="D39" s="105" t="s">
        <v>387</v>
      </c>
    </row>
    <row r="40" spans="2:4" x14ac:dyDescent="0.35">
      <c r="B40" s="103" t="s">
        <v>388</v>
      </c>
      <c r="C40" s="117">
        <f>IF(QZ_Substance="","",IFERROR(IF(QZ_IsGas,"n/a",6.55*QZ_U^0.78*QZ_Pv*QZ_M^0.667/(Tables!$B$5*QZ_TK)),"–"))</f>
        <v>6.2498757168863615E-5</v>
      </c>
      <c r="D40" s="105" t="s">
        <v>389</v>
      </c>
    </row>
    <row r="41" spans="2:4" x14ac:dyDescent="0.35">
      <c r="B41" s="103" t="s">
        <v>390</v>
      </c>
      <c r="C41" s="112">
        <f>IF(QZ_Substance="","",IFERROR(IF(QZ_IsGas,"n/a",IF(N(QZ_BundArea)&gt;0,MIN(QZ_BundArea,QZ_Amount/QZ_SpillDepth),QZ_Amount/QZ_SpillDepth)),"–"))</f>
        <v>5</v>
      </c>
      <c r="D41" s="105" t="s">
        <v>391</v>
      </c>
    </row>
    <row r="42" spans="2:4" x14ac:dyDescent="0.35">
      <c r="B42" s="103" t="s">
        <v>392</v>
      </c>
      <c r="C42" s="117">
        <f>IF(QZ_Substance="","",IFERROR(IF(QZ_IsGas,"n/a",QZ_FillRate/60000*QZ_RhoSat),"–"))</f>
        <v>3.6687278878984057E-5</v>
      </c>
      <c r="D42" s="105" t="s">
        <v>393</v>
      </c>
    </row>
    <row r="43" spans="2:4" x14ac:dyDescent="0.35">
      <c r="B43" s="103" t="s">
        <v>394</v>
      </c>
      <c r="C43" s="117">
        <f>IF(QZ_Substance="","",IFERROR(IF(QZ_IsGas,QZ_WHole,QZ_EvapFlux*QZ_SpillArea),"–"))</f>
        <v>3.1249378584431806E-4</v>
      </c>
      <c r="D43" s="105" t="s">
        <v>395</v>
      </c>
    </row>
    <row r="44" spans="2:4" x14ac:dyDescent="0.35">
      <c r="B44" s="103" t="s">
        <v>396</v>
      </c>
      <c r="C44" s="117">
        <f>IF(QZ_Substance="","",IFERROR(IF(QZ_IsGas,QZ_WHole,QZ_DispRate+QZ_EvapFlux*QZ_MouthArea),"–"))</f>
        <v>3.7312266450672694E-5</v>
      </c>
      <c r="D44" s="105" t="s">
        <v>397</v>
      </c>
    </row>
    <row r="45" spans="2:4" x14ac:dyDescent="0.35">
      <c r="B45" s="103" t="s">
        <v>398</v>
      </c>
      <c r="C45" s="117">
        <f>IF(QZ_Substance="","",IFERROR(IF(QZ_IsGas,QZ_WHole,QZ_EvapFlux*QZ_VesselArea),"–"))</f>
        <v>6.249875716886362E-6</v>
      </c>
      <c r="D45" s="105" t="s">
        <v>395</v>
      </c>
    </row>
    <row r="46" spans="2:4" x14ac:dyDescent="0.35">
      <c r="B46" s="103" t="s">
        <v>399</v>
      </c>
      <c r="C46" s="117">
        <f>IF(QZ_Substance="","",IFERROR(IF(QZ_IsGas,QZ_WHole,QZ_DispRate+QZ_EvapFlux*QZ_VesselArea),"–"))</f>
        <v>4.293715459587042E-5</v>
      </c>
      <c r="D46" s="105" t="s">
        <v>400</v>
      </c>
    </row>
    <row r="47" spans="2:4" x14ac:dyDescent="0.35">
      <c r="B47" s="103" t="s">
        <v>401</v>
      </c>
      <c r="C47" s="117">
        <f>IF(QZ_Substance="","",IFERROR(IF(QZ_IsGas,QZ_WHole,QZ_EvapFlux*QZ_WetArea),"–"))</f>
        <v>1.2499751433772724E-5</v>
      </c>
      <c r="D47" s="105" t="s">
        <v>395</v>
      </c>
    </row>
    <row r="48" spans="2:4" x14ac:dyDescent="0.35">
      <c r="B48" s="103" t="s">
        <v>402</v>
      </c>
      <c r="C48" s="117">
        <f>IF(QZ_Substance="","",IFERROR(IF(QZ_IsGas,QZ_Amount,QZ_Amount/1000*QZ_Rho),"–"))</f>
        <v>21.675000000000001</v>
      </c>
      <c r="D48" s="105" t="s">
        <v>403</v>
      </c>
    </row>
    <row r="49" spans="2:32" x14ac:dyDescent="0.35">
      <c r="B49" s="103" t="s">
        <v>404</v>
      </c>
      <c r="C49" s="117">
        <f>IF(QZ_Substance="","",IFERROR(IF(QZ_IsGas,QZ_Amount,IF(QZ_FillRate&gt;0,QZ_Amount/1000*QZ_RhoSat+QZ_EvapFlux*QZ_MouthArea*IF(QZ_FillRate&gt;0,QZ_Amount/QZ_FillRate*60,0),QZ_M_All)),"–"))</f>
        <v>2.7984199838004525E-3</v>
      </c>
      <c r="D49" s="105" t="s">
        <v>405</v>
      </c>
    </row>
    <row r="50" spans="2:32" x14ac:dyDescent="0.35">
      <c r="B50" s="103" t="s">
        <v>406</v>
      </c>
      <c r="C50" s="117">
        <f>IF(QZ_Substance="","",IFERROR(IF(QZ_IsGas,QZ_Amount,IF(QZ_FillRate&gt;0,QZ_Amount/1000*QZ_RhoSat+QZ_EvapFlux*QZ_VesselArea*IF(QZ_FillRate&gt;0,QZ_Amount/QZ_FillRate*60,0),QZ_M_All)),"–"))</f>
        <v>3.220286594690282E-3</v>
      </c>
      <c r="D50" s="105" t="s">
        <v>407</v>
      </c>
    </row>
    <row r="51" spans="2:32" x14ac:dyDescent="0.35">
      <c r="B51" s="103" t="s">
        <v>408</v>
      </c>
      <c r="C51" s="116">
        <f>IF(QZ_Substance="","",IFERROR(IF(QZ_IsGas,QZ_Amount/QZ_WHole/60,QZ_Amount/1000*QZ_Rho/QZ_W_Spill/60),"–"))</f>
        <v>1156.022987861819</v>
      </c>
      <c r="D51" s="105" t="s">
        <v>409</v>
      </c>
    </row>
    <row r="53" spans="2:32" ht="24" customHeight="1" x14ac:dyDescent="0.35">
      <c r="B53" s="101" t="s">
        <v>410</v>
      </c>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row>
    <row r="54" spans="2:32" ht="52" customHeight="1" x14ac:dyDescent="0.35">
      <c r="B54" s="118" t="s">
        <v>9</v>
      </c>
      <c r="C54" s="118" t="s">
        <v>278</v>
      </c>
      <c r="D54" s="118" t="s">
        <v>63</v>
      </c>
      <c r="E54" s="81" t="s">
        <v>411</v>
      </c>
      <c r="F54" s="81" t="s">
        <v>412</v>
      </c>
      <c r="G54" s="81" t="s">
        <v>413</v>
      </c>
      <c r="H54" s="81" t="s">
        <v>414</v>
      </c>
      <c r="I54" s="81" t="s">
        <v>172</v>
      </c>
      <c r="J54" s="81" t="s">
        <v>173</v>
      </c>
      <c r="K54" s="81" t="s">
        <v>415</v>
      </c>
      <c r="L54" s="81" t="s">
        <v>416</v>
      </c>
      <c r="M54" s="81" t="s">
        <v>66</v>
      </c>
      <c r="N54" s="81" t="s">
        <v>417</v>
      </c>
      <c r="O54" s="81" t="s">
        <v>176</v>
      </c>
      <c r="P54" s="81" t="s">
        <v>418</v>
      </c>
      <c r="Q54" s="81" t="s">
        <v>419</v>
      </c>
      <c r="R54" s="81" t="s">
        <v>420</v>
      </c>
      <c r="S54" s="81" t="s">
        <v>421</v>
      </c>
      <c r="T54" s="81" t="s">
        <v>422</v>
      </c>
      <c r="U54" s="81" t="s">
        <v>423</v>
      </c>
      <c r="V54" s="81" t="s">
        <v>424</v>
      </c>
      <c r="W54" s="81" t="s">
        <v>425</v>
      </c>
      <c r="X54" s="81" t="s">
        <v>426</v>
      </c>
      <c r="Y54" s="81" t="s">
        <v>427</v>
      </c>
      <c r="Z54" s="81" t="s">
        <v>428</v>
      </c>
      <c r="AA54" s="81" t="s">
        <v>429</v>
      </c>
      <c r="AB54" s="81" t="s">
        <v>430</v>
      </c>
      <c r="AC54" s="81" t="s">
        <v>431</v>
      </c>
      <c r="AD54" s="81" t="s">
        <v>432</v>
      </c>
      <c r="AE54" s="81" t="s">
        <v>433</v>
      </c>
      <c r="AF54" s="81" t="s">
        <v>434</v>
      </c>
    </row>
    <row r="55" spans="2:32" x14ac:dyDescent="0.35">
      <c r="B55" s="119" t="str">
        <f>Tables!$A$43</f>
        <v>Closed containers / sealed system</v>
      </c>
      <c r="C55" s="119" t="s">
        <v>68</v>
      </c>
      <c r="D55" s="119" t="str">
        <f>IF(QZ_Substance="","",IF(QZ_IsGas,"Vapour space inside the containers","Vapour space inside the containers"))</f>
        <v>Vapour space inside the containers</v>
      </c>
      <c r="E55" s="120" t="b">
        <f>IF(QZ_Substance="","",QZ_Interior)</f>
        <v>1</v>
      </c>
      <c r="F55" s="120" t="b">
        <v>0</v>
      </c>
      <c r="G55" s="121" t="str">
        <f>IF(QZ_Substance="","","–")</f>
        <v>–</v>
      </c>
      <c r="H55" s="121" t="str">
        <f>IF(QZ_Substance="","","–")</f>
        <v>–</v>
      </c>
      <c r="I55" s="122" t="str">
        <f>IF(QZ_Substance="","",IF(AND($E55,$F55),IFERROR(INDEX(Tables!$B$15:$B$17,MATCH($C55,Tables!$A$15:$A$17,0)),"–"),"–"))</f>
        <v>–</v>
      </c>
      <c r="J55" s="121" t="str">
        <f>IF(QZ_Substance="","",IF(AND($E55,$F55),IFERROR($G55/($I55*QZ_LELm)*QZ_TK/Tables!$B$9,"–"),"–"))</f>
        <v>–</v>
      </c>
      <c r="K55" s="123" t="str">
        <f t="shared" ref="K55:K69" si="0">IF(QZ_Substance="","",IF(AND($E55,$F55),IFERROR(QZ_f*$J55/QZ_C,"–"),"–"))</f>
        <v>–</v>
      </c>
      <c r="L55" s="123" t="str">
        <f>IF(QZ_Substance="","",IF(AND($E55,$F55),IFERROR($H55/($I55*QZ_LELm)*QZ_TK/Tables!$B$9,"–"),"–"))</f>
        <v>–</v>
      </c>
      <c r="M55" s="123" t="str">
        <f t="shared" ref="M55:M69" si="1">IF(QZ_Substance="","",IF(AND($E55,$F55),IFERROR(MIN($K55,$L55),"–"),"–"))</f>
        <v>–</v>
      </c>
      <c r="N55" s="120" t="str">
        <f t="shared" ref="N55:N69" si="2">IF(QZ_Substance="","",IF(AND($E55,$F55),IFERROR($L55&lt;$K55,"–"),"–"))</f>
        <v>–</v>
      </c>
      <c r="O55" s="120" t="str">
        <f>IF(QZ_Substance="","",IF(AND($E55,$F55),IFERROR(IF($M55&lt;Tables!$B$7,"High",IF(QZ_Outdoor,"Medium",IF($M55&lt;QZ_RoomVol,"Medium","Low"))),"–"),"–"))</f>
        <v>–</v>
      </c>
      <c r="P55" s="120" t="str">
        <f>IF(QZ_Substance="","",IF(AND($E55,$F55),IFERROR(INDEX(Tables!$B$22:$J$24,MATCH($C55,Tables!$A$22:$A$24,0),MATCH($O55&amp;"-"&amp;QZ_Avail,Tables!$B$21:$J$21,0)),"–"),"–"))</f>
        <v>–</v>
      </c>
      <c r="Q55" s="120" t="str">
        <f t="shared" ref="Q55:Q69" si="3">IF(QZ_Substance="","",IF(AND($E55,$F55),IFERROR(IF(ISNUMBER(FIND("(",$P55)),VALUE(MID($P55,FIND("(",$P55)+6,1)),VALUE(MID($P55,FIND("Zone ",$P55)+5,1))),"–"),"–"))</f>
        <v>–</v>
      </c>
      <c r="R55" s="120" t="str">
        <f t="shared" ref="R55:R69" si="4">IF(QZ_Substance="","",IF(AND($E55,$F55),IFERROR(ISNUMBER(FIND(" NE)",$P55)),"–"),"–"))</f>
        <v>–</v>
      </c>
      <c r="S55" s="122" t="str">
        <f t="shared" ref="S55:S69" si="5">IF(QZ_Substance="","",IF(AND($E55,$F55),IFERROR(IF($O55="Low",9999,(3*$M55/(2*PI()))^(1/3)),"–"),"–"))</f>
        <v>–</v>
      </c>
      <c r="T55" s="120" t="str">
        <f t="shared" ref="T55:T69" si="6">IF(QZ_Substance="","",IF(AND($E55,$F55),IFERROR(IF(ISNUMBER(FIND(" + ",$P55)),VALUE(MID($P55,FIND(" + ",$P55)+8,1)),IF(AND(ISNUMBER(FIND("(",$P55)),LEFT($P55,4)="Zone"),VALUE(MID($P55,6,1)),"–")),"–"),"–"))</f>
        <v>–</v>
      </c>
      <c r="U55" s="123" t="str">
        <f t="shared" ref="U55:U69" si="7">IF(QZ_Substance="","",IF(AND($E55,$F55),IFERROR(QZ_f*$J55/QZ_C2,"–"),"–"))</f>
        <v>–</v>
      </c>
      <c r="V55" s="123" t="str">
        <f t="shared" ref="V55:V69" si="8">IF(QZ_Substance="","",IF(AND($E55,$F55),IFERROR(MIN($U55,$L55),"–"),"–"))</f>
        <v>–</v>
      </c>
      <c r="W55" s="120" t="str">
        <f t="shared" ref="W55:W69" si="9">IF(QZ_Substance="","",IF(AND($E55,$F55),IFERROR($L55&lt;$U55,"–"),"–"))</f>
        <v>–</v>
      </c>
      <c r="X55" s="122" t="str">
        <f t="shared" ref="X55:X69" si="10">IF(QZ_Substance="","",IF(AND($E55,$F55),IFERROR(IF(ISNUMBER($T55),IF(AND(NOT(QZ_Outdoor),$V55&gt;=QZ_RoomVol),9999,(3*$V55/(2*PI()))^(1/3)),"–"),"–"),"–"))</f>
        <v>–</v>
      </c>
      <c r="Y55" s="124" t="str">
        <f>IF(QZ_Substance="","",IF(AND($E55,$F55),IFERROR(-QZ_f/QZ_C*LN(QZ_LFL*$I55/Tables!$B$6)/60,"–"),"–"))</f>
        <v>–</v>
      </c>
      <c r="Z55" s="120" t="str">
        <f t="shared" ref="Z55:Z69" si="11">IF(QZ_Substance="","",IF(AND($E55,$F55),IFERROR(OR(ISNUMBER(SEARCH(" or ",$P55)),ISNUMBER(SEARCH("even",$P55))),"–"),"–"))</f>
        <v>–</v>
      </c>
      <c r="AA55" s="122">
        <f t="shared" ref="AA55:AA69" si="12">IF(QZ_Substance="","",IF(NOT($E55),"",IF(NOT($F55),0,IF(AND(ISNUMBER($Q55),$Q55=0,$R55=FALSE),$S55,IF(AND(ISNUMBER($T55),$T55=0),$X55,"")))))</f>
        <v>0</v>
      </c>
      <c r="AB55" s="122" t="str">
        <f t="shared" ref="AB55:AB69" si="13">IF(QZ_Substance="","",IF(NOT($E55),"",IF(NOT($F55),"",IF(AND(ISNUMBER($Q55),$Q55=1,$R55=FALSE),$S55,IF(AND(ISNUMBER($T55),$T55=1),$X55,"")))))</f>
        <v/>
      </c>
      <c r="AC55" s="122" t="str">
        <f t="shared" ref="AC55:AC69" si="14">IF(QZ_Substance="","",IF(NOT($E55),"",IF(NOT($F55),"",IF(AND(ISNUMBER($Q55),$Q55=2,$R55=FALSE),$S55,IF(AND(ISNUMBER($T55),$T55=2),$X55,"")))))</f>
        <v/>
      </c>
      <c r="AD55" s="122" t="str">
        <f t="shared" ref="AD55:AD69" si="15">IF(QZ_Substance="","",IF(AND($E55,$F55),IF(AND(ISNUMBER($Q55),$Q55=0,$R55=TRUE),$S55,""),""))</f>
        <v/>
      </c>
      <c r="AE55" s="122" t="str">
        <f t="shared" ref="AE55:AE69" si="16">IF(QZ_Substance="","",IF(AND($E55,$F55),IF(AND(ISNUMBER($Q55),$Q55=1,$R55=TRUE),$S55,""),""))</f>
        <v/>
      </c>
      <c r="AF55" s="122" t="str">
        <f t="shared" ref="AF55:AF69" si="17">IF(QZ_Substance="","",IF(AND($E55,$F55),IF(AND(ISNUMBER($Q55),$Q55=2,$R55=TRUE),$S55,""),""))</f>
        <v/>
      </c>
    </row>
    <row r="56" spans="2:32" x14ac:dyDescent="0.35">
      <c r="B56" s="119" t="str">
        <f>Tables!$A$43</f>
        <v>Closed containers / sealed system</v>
      </c>
      <c r="C56" s="119" t="s">
        <v>69</v>
      </c>
      <c r="D56" s="119" t="str">
        <f>IF(QZ_Substance="","",IF(QZ_IsGas,"No release in normal operation","No release in normal operation"))</f>
        <v>No release in normal operation</v>
      </c>
      <c r="E56" s="120" t="b">
        <f>IF(QZ_Substance="","",FALSE)</f>
        <v>0</v>
      </c>
      <c r="F56" s="120" t="b">
        <v>0</v>
      </c>
      <c r="G56" s="121" t="str">
        <f>IF(QZ_Substance="","","–")</f>
        <v>–</v>
      </c>
      <c r="H56" s="121" t="str">
        <f>IF(QZ_Substance="","","–")</f>
        <v>–</v>
      </c>
      <c r="I56" s="122" t="str">
        <f>IF(QZ_Substance="","",IF(AND($E56,$F56),IFERROR(INDEX(Tables!$B$15:$B$17,MATCH($C56,Tables!$A$15:$A$17,0)),"–"),"–"))</f>
        <v>–</v>
      </c>
      <c r="J56" s="121" t="str">
        <f>IF(QZ_Substance="","",IF(AND($E56,$F56),IFERROR($G56/($I56*QZ_LELm)*QZ_TK/Tables!$B$9,"–"),"–"))</f>
        <v>–</v>
      </c>
      <c r="K56" s="123" t="str">
        <f t="shared" si="0"/>
        <v>–</v>
      </c>
      <c r="L56" s="123" t="str">
        <f>IF(QZ_Substance="","",IF(AND($E56,$F56),IFERROR($H56/($I56*QZ_LELm)*QZ_TK/Tables!$B$9,"–"),"–"))</f>
        <v>–</v>
      </c>
      <c r="M56" s="123" t="str">
        <f t="shared" si="1"/>
        <v>–</v>
      </c>
      <c r="N56" s="120" t="str">
        <f t="shared" si="2"/>
        <v>–</v>
      </c>
      <c r="O56" s="120" t="str">
        <f>IF(QZ_Substance="","",IF(AND($E56,$F56),IFERROR(IF($M56&lt;Tables!$B$7,"High",IF(QZ_Outdoor,"Medium",IF($M56&lt;QZ_RoomVol,"Medium","Low"))),"–"),"–"))</f>
        <v>–</v>
      </c>
      <c r="P56" s="120" t="str">
        <f>IF(QZ_Substance="","",IF(AND($E56,$F56),IFERROR(INDEX(Tables!$B$22:$J$24,MATCH($C56,Tables!$A$22:$A$24,0),MATCH($O56&amp;"-"&amp;QZ_Avail,Tables!$B$21:$J$21,0)),"–"),"–"))</f>
        <v>–</v>
      </c>
      <c r="Q56" s="120" t="str">
        <f t="shared" si="3"/>
        <v>–</v>
      </c>
      <c r="R56" s="120" t="str">
        <f t="shared" si="4"/>
        <v>–</v>
      </c>
      <c r="S56" s="122" t="str">
        <f t="shared" si="5"/>
        <v>–</v>
      </c>
      <c r="T56" s="120" t="str">
        <f t="shared" si="6"/>
        <v>–</v>
      </c>
      <c r="U56" s="123" t="str">
        <f t="shared" si="7"/>
        <v>–</v>
      </c>
      <c r="V56" s="123" t="str">
        <f t="shared" si="8"/>
        <v>–</v>
      </c>
      <c r="W56" s="120" t="str">
        <f t="shared" si="9"/>
        <v>–</v>
      </c>
      <c r="X56" s="122" t="str">
        <f t="shared" si="10"/>
        <v>–</v>
      </c>
      <c r="Y56" s="124" t="str">
        <f>IF(QZ_Substance="","",IF(AND($E56,$F56),IFERROR(-QZ_f/QZ_C*LN(QZ_LFL*$I56/Tables!$B$6)/60,"–"),"–"))</f>
        <v>–</v>
      </c>
      <c r="Z56" s="120" t="str">
        <f t="shared" si="11"/>
        <v>–</v>
      </c>
      <c r="AA56" s="122" t="str">
        <f t="shared" si="12"/>
        <v/>
      </c>
      <c r="AB56" s="122" t="str">
        <f t="shared" si="13"/>
        <v/>
      </c>
      <c r="AC56" s="122" t="str">
        <f t="shared" si="14"/>
        <v/>
      </c>
      <c r="AD56" s="122" t="str">
        <f t="shared" si="15"/>
        <v/>
      </c>
      <c r="AE56" s="122" t="str">
        <f t="shared" si="16"/>
        <v/>
      </c>
      <c r="AF56" s="122" t="str">
        <f t="shared" si="17"/>
        <v/>
      </c>
    </row>
    <row r="57" spans="2:32" x14ac:dyDescent="0.35">
      <c r="B57" s="125" t="str">
        <f>Tables!$A$43</f>
        <v>Closed containers / sealed system</v>
      </c>
      <c r="C57" s="125" t="s">
        <v>70</v>
      </c>
      <c r="D57" s="125" t="str">
        <f>IF(QZ_Substance="","",IF(QZ_IsGas,"Leak from a joint, valve or fitting","Leak or spill of the full amount"))</f>
        <v>Leak or spill of the full amount</v>
      </c>
      <c r="E57" s="126" t="b">
        <f>IF(QZ_Substance="","",TRUE)</f>
        <v>1</v>
      </c>
      <c r="F57" s="126" t="b">
        <v>1</v>
      </c>
      <c r="G57" s="127">
        <f>IF(QZ_Substance="","",IF(AND($E57,$F57),IFERROR(QZ_W_Spill,"–"),"–"))</f>
        <v>3.1249378584431806E-4</v>
      </c>
      <c r="H57" s="127">
        <f>IF(QZ_Substance="","",IF(AND($E57,$F57),IFERROR(QZ_M_All,"–"),"–"))</f>
        <v>21.675000000000001</v>
      </c>
      <c r="I57" s="128">
        <f>IF(QZ_Substance="","",IF(AND($E57,$F57),IFERROR(INDEX(Tables!$B$15:$B$17,MATCH($C57,Tables!$A$15:$A$17,0)),"–"),"–"))</f>
        <v>0.5</v>
      </c>
      <c r="J57" s="127">
        <f>IF(QZ_Substance="","",IF(AND($E57,$F57),IFERROR($G57/($I57*QZ_LELm)*QZ_TK/Tables!$B$9,"–"),"–"))</f>
        <v>1.631368682263212E-2</v>
      </c>
      <c r="K57" s="129">
        <f t="shared" si="0"/>
        <v>39.152848374317081</v>
      </c>
      <c r="L57" s="129">
        <f>IF(QZ_Substance="","",IF(AND($E57,$F57),IFERROR($H57/($I57*QZ_LELm)*QZ_TK/Tables!$B$9,"–"),"–"))</f>
        <v>1131.53981902447</v>
      </c>
      <c r="M57" s="129">
        <f t="shared" si="1"/>
        <v>39.152848374317081</v>
      </c>
      <c r="N57" s="126" t="b">
        <f t="shared" si="2"/>
        <v>0</v>
      </c>
      <c r="O57" s="126" t="str">
        <f>IF(QZ_Substance="","",IF(AND($E57,$F57),IFERROR(IF($M57&lt;Tables!$B$7,"High",IF(QZ_Outdoor,"Medium",IF($M57&lt;QZ_RoomVol,"Medium","Low"))),"–"),"–"))</f>
        <v>Medium</v>
      </c>
      <c r="P57" s="126" t="str">
        <f>IF(QZ_Substance="","",IF(AND($E57,$F57),IFERROR(INDEX(Tables!$B$22:$J$24,MATCH($C57,Tables!$A$22:$A$24,0),MATCH($O57&amp;"-"&amp;QZ_Avail,Tables!$B$21:$J$21,0)),"–"),"–"))</f>
        <v>Zone 2</v>
      </c>
      <c r="Q57" s="126">
        <f t="shared" si="3"/>
        <v>2</v>
      </c>
      <c r="R57" s="126" t="b">
        <f t="shared" si="4"/>
        <v>0</v>
      </c>
      <c r="S57" s="128">
        <f t="shared" si="5"/>
        <v>2.6540040603836981</v>
      </c>
      <c r="T57" s="126" t="str">
        <f t="shared" si="6"/>
        <v>–</v>
      </c>
      <c r="U57" s="129">
        <f t="shared" si="7"/>
        <v>234.91709024590253</v>
      </c>
      <c r="V57" s="129">
        <f t="shared" si="8"/>
        <v>234.91709024590253</v>
      </c>
      <c r="W57" s="126" t="b">
        <f t="shared" si="9"/>
        <v>0</v>
      </c>
      <c r="X57" s="128" t="str">
        <f t="shared" si="10"/>
        <v>–</v>
      </c>
      <c r="Y57" s="130">
        <f>IF(QZ_Substance="","",IF(AND($E57,$F57),IFERROR(-QZ_f/QZ_C*LN(QZ_LFL*$I57/Tables!$B$6)/60,"–"),"–"))</f>
        <v>211.93269466192143</v>
      </c>
      <c r="Z57" s="126" t="b">
        <f t="shared" si="11"/>
        <v>0</v>
      </c>
      <c r="AA57" s="128" t="str">
        <f t="shared" si="12"/>
        <v/>
      </c>
      <c r="AB57" s="128" t="str">
        <f t="shared" si="13"/>
        <v/>
      </c>
      <c r="AC57" s="128">
        <f t="shared" si="14"/>
        <v>2.6540040603836981</v>
      </c>
      <c r="AD57" s="128" t="str">
        <f t="shared" si="15"/>
        <v/>
      </c>
      <c r="AE57" s="128" t="str">
        <f t="shared" si="16"/>
        <v/>
      </c>
      <c r="AF57" s="128" t="str">
        <f t="shared" si="17"/>
        <v/>
      </c>
    </row>
    <row r="58" spans="2:32" x14ac:dyDescent="0.35">
      <c r="B58" s="119" t="str">
        <f>Tables!$A$44</f>
        <v>Decanting / filling / sampling</v>
      </c>
      <c r="C58" s="119" t="s">
        <v>68</v>
      </c>
      <c r="D58" s="119" t="str">
        <f>IF(QZ_Substance="","",IF(QZ_IsGas,"Vapour space inside the receiving container","Vapour space inside the receiving container"))</f>
        <v>Vapour space inside the receiving container</v>
      </c>
      <c r="E58" s="120" t="b">
        <f>IF(QZ_Substance="","",QZ_Interior)</f>
        <v>1</v>
      </c>
      <c r="F58" s="120" t="b">
        <v>0</v>
      </c>
      <c r="G58" s="121" t="str">
        <f>IF(QZ_Substance="","","–")</f>
        <v>–</v>
      </c>
      <c r="H58" s="121" t="str">
        <f>IF(QZ_Substance="","","–")</f>
        <v>–</v>
      </c>
      <c r="I58" s="122" t="str">
        <f>IF(QZ_Substance="","",IF(AND($E58,$F58),IFERROR(INDEX(Tables!$B$15:$B$17,MATCH($C58,Tables!$A$15:$A$17,0)),"–"),"–"))</f>
        <v>–</v>
      </c>
      <c r="J58" s="121" t="str">
        <f>IF(QZ_Substance="","",IF(AND($E58,$F58),IFERROR($G58/($I58*QZ_LELm)*QZ_TK/Tables!$B$9,"–"),"–"))</f>
        <v>–</v>
      </c>
      <c r="K58" s="123" t="str">
        <f t="shared" si="0"/>
        <v>–</v>
      </c>
      <c r="L58" s="123" t="str">
        <f>IF(QZ_Substance="","",IF(AND($E58,$F58),IFERROR($H58/($I58*QZ_LELm)*QZ_TK/Tables!$B$9,"–"),"–"))</f>
        <v>–</v>
      </c>
      <c r="M58" s="123" t="str">
        <f t="shared" si="1"/>
        <v>–</v>
      </c>
      <c r="N58" s="120" t="str">
        <f t="shared" si="2"/>
        <v>–</v>
      </c>
      <c r="O58" s="120" t="str">
        <f>IF(QZ_Substance="","",IF(AND($E58,$F58),IFERROR(IF($M58&lt;Tables!$B$7,"High",IF(QZ_Outdoor,"Medium",IF($M58&lt;QZ_RoomVol,"Medium","Low"))),"–"),"–"))</f>
        <v>–</v>
      </c>
      <c r="P58" s="120" t="str">
        <f>IF(QZ_Substance="","",IF(AND($E58,$F58),IFERROR(INDEX(Tables!$B$22:$J$24,MATCH($C58,Tables!$A$22:$A$24,0),MATCH($O58&amp;"-"&amp;QZ_Avail,Tables!$B$21:$J$21,0)),"–"),"–"))</f>
        <v>–</v>
      </c>
      <c r="Q58" s="120" t="str">
        <f t="shared" si="3"/>
        <v>–</v>
      </c>
      <c r="R58" s="120" t="str">
        <f t="shared" si="4"/>
        <v>–</v>
      </c>
      <c r="S58" s="122" t="str">
        <f t="shared" si="5"/>
        <v>–</v>
      </c>
      <c r="T58" s="120" t="str">
        <f t="shared" si="6"/>
        <v>–</v>
      </c>
      <c r="U58" s="123" t="str">
        <f t="shared" si="7"/>
        <v>–</v>
      </c>
      <c r="V58" s="123" t="str">
        <f t="shared" si="8"/>
        <v>–</v>
      </c>
      <c r="W58" s="120" t="str">
        <f t="shared" si="9"/>
        <v>–</v>
      </c>
      <c r="X58" s="122" t="str">
        <f t="shared" si="10"/>
        <v>–</v>
      </c>
      <c r="Y58" s="124" t="str">
        <f>IF(QZ_Substance="","",IF(AND($E58,$F58),IFERROR(-QZ_f/QZ_C*LN(QZ_LFL*$I58/Tables!$B$6)/60,"–"),"–"))</f>
        <v>–</v>
      </c>
      <c r="Z58" s="120" t="str">
        <f t="shared" si="11"/>
        <v>–</v>
      </c>
      <c r="AA58" s="122">
        <f t="shared" si="12"/>
        <v>0</v>
      </c>
      <c r="AB58" s="122" t="str">
        <f t="shared" si="13"/>
        <v/>
      </c>
      <c r="AC58" s="122" t="str">
        <f t="shared" si="14"/>
        <v/>
      </c>
      <c r="AD58" s="122" t="str">
        <f t="shared" si="15"/>
        <v/>
      </c>
      <c r="AE58" s="122" t="str">
        <f t="shared" si="16"/>
        <v/>
      </c>
      <c r="AF58" s="122" t="str">
        <f t="shared" si="17"/>
        <v/>
      </c>
    </row>
    <row r="59" spans="2:32" x14ac:dyDescent="0.35">
      <c r="B59" s="119" t="str">
        <f>Tables!$A$44</f>
        <v>Decanting / filling / sampling</v>
      </c>
      <c r="C59" s="119" t="s">
        <v>69</v>
      </c>
      <c r="D59" s="119" t="str">
        <f>IF(QZ_Substance="","",IF(QZ_IsGas,"Release at the connection while filling or sampling","Vapour pushed out of the container mouth while filling"))</f>
        <v>Vapour pushed out of the container mouth while filling</v>
      </c>
      <c r="E59" s="120" t="b">
        <f t="shared" ref="E59:E64" si="18">IF(QZ_Substance="","",TRUE)</f>
        <v>1</v>
      </c>
      <c r="F59" s="120" t="b">
        <v>1</v>
      </c>
      <c r="G59" s="121">
        <f>IF(QZ_Substance="","",IF(AND($E59,$F59),IFERROR(QZ_W_Fill,"–"),"–"))</f>
        <v>3.7312266450672694E-5</v>
      </c>
      <c r="H59" s="121">
        <f>IF(QZ_Substance="","",IF(AND($E59,$F59),IFERROR(QZ_M_Fill,"–"),"–"))</f>
        <v>2.7984199838004525E-3</v>
      </c>
      <c r="I59" s="122">
        <f>IF(QZ_Substance="","",IF(AND($E59,$F59),IFERROR(INDEX(Tables!$B$15:$B$17,MATCH($C59,Tables!$A$15:$A$17,0)),"–"),"–"))</f>
        <v>0.25</v>
      </c>
      <c r="J59" s="121">
        <f>IF(QZ_Substance="","",IF(AND($E59,$F59),IFERROR($G59/($I59*QZ_LELm)*QZ_TK/Tables!$B$9,"–"),"–"))</f>
        <v>3.8957614972998373E-3</v>
      </c>
      <c r="K59" s="123">
        <f t="shared" si="0"/>
        <v>9.3498275935196098</v>
      </c>
      <c r="L59" s="123">
        <f>IF(QZ_Substance="","",IF(AND($E59,$F59),IFERROR($H59/($I59*QZ_LELm)*QZ_TK/Tables!$B$9,"–"),"–"))</f>
        <v>0.29218211229748786</v>
      </c>
      <c r="M59" s="123">
        <f t="shared" si="1"/>
        <v>0.29218211229748786</v>
      </c>
      <c r="N59" s="120" t="b">
        <f t="shared" si="2"/>
        <v>1</v>
      </c>
      <c r="O59" s="120" t="str">
        <f>IF(QZ_Substance="","",IF(AND($E59,$F59),IFERROR(IF($M59&lt;Tables!$B$7,"High",IF(QZ_Outdoor,"Medium",IF($M59&lt;QZ_RoomVol,"Medium","Low"))),"–"),"–"))</f>
        <v>Medium</v>
      </c>
      <c r="P59" s="120" t="str">
        <f>IF(QZ_Substance="","",IF(AND($E59,$F59),IFERROR(INDEX(Tables!$B$22:$J$24,MATCH($C59,Tables!$A$22:$A$24,0),MATCH($O59&amp;"-"&amp;QZ_Avail,Tables!$B$21:$J$21,0)),"–"),"–"))</f>
        <v>Zone 1</v>
      </c>
      <c r="Q59" s="120">
        <f t="shared" si="3"/>
        <v>1</v>
      </c>
      <c r="R59" s="120" t="b">
        <f t="shared" si="4"/>
        <v>0</v>
      </c>
      <c r="S59" s="122">
        <f t="shared" si="5"/>
        <v>0.51863879982348959</v>
      </c>
      <c r="T59" s="120" t="str">
        <f t="shared" si="6"/>
        <v>–</v>
      </c>
      <c r="U59" s="123">
        <f t="shared" si="7"/>
        <v>56.098965561117659</v>
      </c>
      <c r="V59" s="123">
        <f t="shared" si="8"/>
        <v>0.29218211229748786</v>
      </c>
      <c r="W59" s="120" t="b">
        <f t="shared" si="9"/>
        <v>1</v>
      </c>
      <c r="X59" s="122" t="str">
        <f t="shared" si="10"/>
        <v>–</v>
      </c>
      <c r="Y59" s="124">
        <f>IF(QZ_Substance="","",IF(AND($E59,$F59),IFERROR(-QZ_f/QZ_C*LN(QZ_LFL*$I59/Tables!$B$6)/60,"–"),"–"))</f>
        <v>239.65858188431926</v>
      </c>
      <c r="Z59" s="120" t="b">
        <f t="shared" si="11"/>
        <v>0</v>
      </c>
      <c r="AA59" s="122" t="str">
        <f t="shared" si="12"/>
        <v/>
      </c>
      <c r="AB59" s="122">
        <f t="shared" si="13"/>
        <v>0.51863879982348959</v>
      </c>
      <c r="AC59" s="122" t="str">
        <f t="shared" si="14"/>
        <v/>
      </c>
      <c r="AD59" s="122" t="str">
        <f t="shared" si="15"/>
        <v/>
      </c>
      <c r="AE59" s="122" t="str">
        <f t="shared" si="16"/>
        <v/>
      </c>
      <c r="AF59" s="122" t="str">
        <f t="shared" si="17"/>
        <v/>
      </c>
    </row>
    <row r="60" spans="2:32" x14ac:dyDescent="0.35">
      <c r="B60" s="125" t="str">
        <f>Tables!$A$44</f>
        <v>Decanting / filling / sampling</v>
      </c>
      <c r="C60" s="125" t="s">
        <v>70</v>
      </c>
      <c r="D60" s="125" t="str">
        <f>IF(QZ_Substance="","",IF(QZ_IsGas,"Leak from a joint, valve or fitting","Spill of the full amount"))</f>
        <v>Spill of the full amount</v>
      </c>
      <c r="E60" s="126" t="b">
        <f t="shared" si="18"/>
        <v>1</v>
      </c>
      <c r="F60" s="126" t="b">
        <v>1</v>
      </c>
      <c r="G60" s="127">
        <f>IF(QZ_Substance="","",IF(AND($E60,$F60),IFERROR(QZ_W_Spill,"–"),"–"))</f>
        <v>3.1249378584431806E-4</v>
      </c>
      <c r="H60" s="127">
        <f>IF(QZ_Substance="","",IF(AND($E60,$F60),IFERROR(QZ_M_All,"–"),"–"))</f>
        <v>21.675000000000001</v>
      </c>
      <c r="I60" s="128">
        <f>IF(QZ_Substance="","",IF(AND($E60,$F60),IFERROR(INDEX(Tables!$B$15:$B$17,MATCH($C60,Tables!$A$15:$A$17,0)),"–"),"–"))</f>
        <v>0.5</v>
      </c>
      <c r="J60" s="127">
        <f>IF(QZ_Substance="","",IF(AND($E60,$F60),IFERROR($G60/($I60*QZ_LELm)*QZ_TK/Tables!$B$9,"–"),"–"))</f>
        <v>1.631368682263212E-2</v>
      </c>
      <c r="K60" s="129">
        <f t="shared" si="0"/>
        <v>39.152848374317081</v>
      </c>
      <c r="L60" s="129">
        <f>IF(QZ_Substance="","",IF(AND($E60,$F60),IFERROR($H60/($I60*QZ_LELm)*QZ_TK/Tables!$B$9,"–"),"–"))</f>
        <v>1131.53981902447</v>
      </c>
      <c r="M60" s="129">
        <f t="shared" si="1"/>
        <v>39.152848374317081</v>
      </c>
      <c r="N60" s="126" t="b">
        <f t="shared" si="2"/>
        <v>0</v>
      </c>
      <c r="O60" s="126" t="str">
        <f>IF(QZ_Substance="","",IF(AND($E60,$F60),IFERROR(IF($M60&lt;Tables!$B$7,"High",IF(QZ_Outdoor,"Medium",IF($M60&lt;QZ_RoomVol,"Medium","Low"))),"–"),"–"))</f>
        <v>Medium</v>
      </c>
      <c r="P60" s="126" t="str">
        <f>IF(QZ_Substance="","",IF(AND($E60,$F60),IFERROR(INDEX(Tables!$B$22:$J$24,MATCH($C60,Tables!$A$22:$A$24,0),MATCH($O60&amp;"-"&amp;QZ_Avail,Tables!$B$21:$J$21,0)),"–"),"–"))</f>
        <v>Zone 2</v>
      </c>
      <c r="Q60" s="126">
        <f t="shared" si="3"/>
        <v>2</v>
      </c>
      <c r="R60" s="126" t="b">
        <f t="shared" si="4"/>
        <v>0</v>
      </c>
      <c r="S60" s="128">
        <f t="shared" si="5"/>
        <v>2.6540040603836981</v>
      </c>
      <c r="T60" s="126" t="str">
        <f t="shared" si="6"/>
        <v>–</v>
      </c>
      <c r="U60" s="129">
        <f t="shared" si="7"/>
        <v>234.91709024590253</v>
      </c>
      <c r="V60" s="129">
        <f t="shared" si="8"/>
        <v>234.91709024590253</v>
      </c>
      <c r="W60" s="126" t="b">
        <f t="shared" si="9"/>
        <v>0</v>
      </c>
      <c r="X60" s="128" t="str">
        <f t="shared" si="10"/>
        <v>–</v>
      </c>
      <c r="Y60" s="130">
        <f>IF(QZ_Substance="","",IF(AND($E60,$F60),IFERROR(-QZ_f/QZ_C*LN(QZ_LFL*$I60/Tables!$B$6)/60,"–"),"–"))</f>
        <v>211.93269466192143</v>
      </c>
      <c r="Z60" s="126" t="b">
        <f t="shared" si="11"/>
        <v>0</v>
      </c>
      <c r="AA60" s="128" t="str">
        <f t="shared" si="12"/>
        <v/>
      </c>
      <c r="AB60" s="128" t="str">
        <f t="shared" si="13"/>
        <v/>
      </c>
      <c r="AC60" s="128">
        <f t="shared" si="14"/>
        <v>2.6540040603836981</v>
      </c>
      <c r="AD60" s="128" t="str">
        <f t="shared" si="15"/>
        <v/>
      </c>
      <c r="AE60" s="128" t="str">
        <f t="shared" si="16"/>
        <v/>
      </c>
      <c r="AF60" s="128" t="str">
        <f t="shared" si="17"/>
        <v/>
      </c>
    </row>
    <row r="61" spans="2:32" x14ac:dyDescent="0.35">
      <c r="B61" s="119" t="str">
        <f>Tables!$A$45</f>
        <v>Open vessel / continuous emission</v>
      </c>
      <c r="C61" s="119" t="s">
        <v>68</v>
      </c>
      <c r="D61" s="119" t="str">
        <f>IF(QZ_Substance="","",IF(QZ_IsGas,"Continuous emission from the vent or opening","Evaporation from the open liquid surface"))</f>
        <v>Evaporation from the open liquid surface</v>
      </c>
      <c r="E61" s="120" t="b">
        <f t="shared" si="18"/>
        <v>1</v>
      </c>
      <c r="F61" s="120" t="b">
        <v>1</v>
      </c>
      <c r="G61" s="121">
        <f>IF(QZ_Substance="","",IF(AND($E61,$F61),IFERROR(QZ_W_Surface,"–"),"–"))</f>
        <v>6.249875716886362E-6</v>
      </c>
      <c r="H61" s="121">
        <f>IF(QZ_Substance="","",IF(AND($E61,$F61),IFERROR(QZ_M_All,"–"),"–"))</f>
        <v>21.675000000000001</v>
      </c>
      <c r="I61" s="122">
        <f>IF(QZ_Substance="","",IF(AND($E61,$F61),IFERROR(INDEX(Tables!$B$15:$B$17,MATCH($C61,Tables!$A$15:$A$17,0)),"–"),"–"))</f>
        <v>0.25</v>
      </c>
      <c r="J61" s="121">
        <f>IF(QZ_Substance="","",IF(AND($E61,$F61),IFERROR($G61/($I61*QZ_LELm)*QZ_TK/Tables!$B$9,"–"),"–"))</f>
        <v>6.5254747290528477E-4</v>
      </c>
      <c r="K61" s="123">
        <f t="shared" si="0"/>
        <v>1.5661139349726834</v>
      </c>
      <c r="L61" s="123">
        <f>IF(QZ_Substance="","",IF(AND($E61,$F61),IFERROR($H61/($I61*QZ_LELm)*QZ_TK/Tables!$B$9,"–"),"–"))</f>
        <v>2263.0796380489401</v>
      </c>
      <c r="M61" s="123">
        <f t="shared" si="1"/>
        <v>1.5661139349726834</v>
      </c>
      <c r="N61" s="120" t="b">
        <f t="shared" si="2"/>
        <v>0</v>
      </c>
      <c r="O61" s="120" t="str">
        <f>IF(QZ_Substance="","",IF(AND($E61,$F61),IFERROR(IF($M61&lt;Tables!$B$7,"High",IF(QZ_Outdoor,"Medium",IF($M61&lt;QZ_RoomVol,"Medium","Low"))),"–"),"–"))</f>
        <v>Medium</v>
      </c>
      <c r="P61" s="120" t="str">
        <f>IF(QZ_Substance="","",IF(AND($E61,$F61),IFERROR(INDEX(Tables!$B$22:$J$24,MATCH($C61,Tables!$A$22:$A$24,0),MATCH($O61&amp;"-"&amp;QZ_Avail,Tables!$B$21:$J$21,0)),"–"),"–"))</f>
        <v>Zone 0</v>
      </c>
      <c r="Q61" s="120">
        <f t="shared" si="3"/>
        <v>0</v>
      </c>
      <c r="R61" s="120" t="b">
        <f t="shared" si="4"/>
        <v>0</v>
      </c>
      <c r="S61" s="122">
        <f t="shared" si="5"/>
        <v>0.90765662112768231</v>
      </c>
      <c r="T61" s="120" t="str">
        <f t="shared" si="6"/>
        <v>–</v>
      </c>
      <c r="U61" s="123">
        <f t="shared" si="7"/>
        <v>9.3966836098361011</v>
      </c>
      <c r="V61" s="123">
        <f t="shared" si="8"/>
        <v>9.3966836098361011</v>
      </c>
      <c r="W61" s="120" t="b">
        <f t="shared" si="9"/>
        <v>0</v>
      </c>
      <c r="X61" s="122" t="str">
        <f t="shared" si="10"/>
        <v>–</v>
      </c>
      <c r="Y61" s="124">
        <f>IF(QZ_Substance="","",IF(AND($E61,$F61),IFERROR(-QZ_f/QZ_C*LN(QZ_LFL*$I61/Tables!$B$6)/60,"–"),"–"))</f>
        <v>239.65858188431926</v>
      </c>
      <c r="Z61" s="120" t="b">
        <f t="shared" si="11"/>
        <v>0</v>
      </c>
      <c r="AA61" s="122">
        <f t="shared" si="12"/>
        <v>0.90765662112768231</v>
      </c>
      <c r="AB61" s="122" t="str">
        <f t="shared" si="13"/>
        <v/>
      </c>
      <c r="AC61" s="122" t="str">
        <f t="shared" si="14"/>
        <v/>
      </c>
      <c r="AD61" s="122" t="str">
        <f t="shared" si="15"/>
        <v/>
      </c>
      <c r="AE61" s="122" t="str">
        <f t="shared" si="16"/>
        <v/>
      </c>
      <c r="AF61" s="122" t="str">
        <f t="shared" si="17"/>
        <v/>
      </c>
    </row>
    <row r="62" spans="2:32" x14ac:dyDescent="0.35">
      <c r="B62" s="119" t="str">
        <f>Tables!$A$45</f>
        <v>Open vessel / continuous emission</v>
      </c>
      <c r="C62" s="119" t="s">
        <v>69</v>
      </c>
      <c r="D62" s="119" t="str">
        <f>IF(QZ_Substance="","",IF(QZ_IsGas,"Increased emission during normal operation","Vapour pushed out while charging the vessel"))</f>
        <v>Vapour pushed out while charging the vessel</v>
      </c>
      <c r="E62" s="120" t="b">
        <f t="shared" si="18"/>
        <v>1</v>
      </c>
      <c r="F62" s="120" t="b">
        <v>1</v>
      </c>
      <c r="G62" s="121">
        <f>IF(QZ_Substance="","",IF(AND($E62,$F62),IFERROR(QZ_W_Charge,"–"),"–"))</f>
        <v>4.293715459587042E-5</v>
      </c>
      <c r="H62" s="121">
        <f>IF(QZ_Substance="","",IF(AND($E62,$F62),IFERROR(QZ_M_Charge,"–"),"–"))</f>
        <v>3.220286594690282E-3</v>
      </c>
      <c r="I62" s="122">
        <f>IF(QZ_Substance="","",IF(AND($E62,$F62),IFERROR(INDEX(Tables!$B$15:$B$17,MATCH($C62,Tables!$A$15:$A$17,0)),"–"),"–"))</f>
        <v>0.25</v>
      </c>
      <c r="J62" s="121">
        <f>IF(QZ_Substance="","",IF(AND($E62,$F62),IFERROR($G62/($I62*QZ_LELm)*QZ_TK/Tables!$B$9,"–"),"–"))</f>
        <v>4.4830542229145932E-3</v>
      </c>
      <c r="K62" s="123">
        <f t="shared" si="0"/>
        <v>10.759330134995023</v>
      </c>
      <c r="L62" s="123">
        <f>IF(QZ_Substance="","",IF(AND($E62,$F62),IFERROR($H62/($I62*QZ_LELm)*QZ_TK/Tables!$B$9,"–"),"–"))</f>
        <v>0.33622906671859459</v>
      </c>
      <c r="M62" s="123">
        <f t="shared" si="1"/>
        <v>0.33622906671859459</v>
      </c>
      <c r="N62" s="120" t="b">
        <f t="shared" si="2"/>
        <v>1</v>
      </c>
      <c r="O62" s="120" t="str">
        <f>IF(QZ_Substance="","",IF(AND($E62,$F62),IFERROR(IF($M62&lt;Tables!$B$7,"High",IF(QZ_Outdoor,"Medium",IF($M62&lt;QZ_RoomVol,"Medium","Low"))),"–"),"–"))</f>
        <v>Medium</v>
      </c>
      <c r="P62" s="120" t="str">
        <f>IF(QZ_Substance="","",IF(AND($E62,$F62),IFERROR(INDEX(Tables!$B$22:$J$24,MATCH($C62,Tables!$A$22:$A$24,0),MATCH($O62&amp;"-"&amp;QZ_Avail,Tables!$B$21:$J$21,0)),"–"),"–"))</f>
        <v>Zone 1</v>
      </c>
      <c r="Q62" s="120">
        <f t="shared" si="3"/>
        <v>1</v>
      </c>
      <c r="R62" s="120" t="b">
        <f t="shared" si="4"/>
        <v>0</v>
      </c>
      <c r="S62" s="122">
        <f t="shared" si="5"/>
        <v>0.54349082116061653</v>
      </c>
      <c r="T62" s="120" t="str">
        <f t="shared" si="6"/>
        <v>–</v>
      </c>
      <c r="U62" s="123">
        <f t="shared" si="7"/>
        <v>64.555980809970137</v>
      </c>
      <c r="V62" s="123">
        <f t="shared" si="8"/>
        <v>0.33622906671859459</v>
      </c>
      <c r="W62" s="120" t="b">
        <f t="shared" si="9"/>
        <v>1</v>
      </c>
      <c r="X62" s="122" t="str">
        <f t="shared" si="10"/>
        <v>–</v>
      </c>
      <c r="Y62" s="124">
        <f>IF(QZ_Substance="","",IF(AND($E62,$F62),IFERROR(-QZ_f/QZ_C*LN(QZ_LFL*$I62/Tables!$B$6)/60,"–"),"–"))</f>
        <v>239.65858188431926</v>
      </c>
      <c r="Z62" s="120" t="b">
        <f t="shared" si="11"/>
        <v>0</v>
      </c>
      <c r="AA62" s="122" t="str">
        <f t="shared" si="12"/>
        <v/>
      </c>
      <c r="AB62" s="122">
        <f t="shared" si="13"/>
        <v>0.54349082116061653</v>
      </c>
      <c r="AC62" s="122" t="str">
        <f t="shared" si="14"/>
        <v/>
      </c>
      <c r="AD62" s="122" t="str">
        <f t="shared" si="15"/>
        <v/>
      </c>
      <c r="AE62" s="122" t="str">
        <f t="shared" si="16"/>
        <v/>
      </c>
      <c r="AF62" s="122" t="str">
        <f t="shared" si="17"/>
        <v/>
      </c>
    </row>
    <row r="63" spans="2:32" x14ac:dyDescent="0.35">
      <c r="B63" s="125" t="str">
        <f>Tables!$A$45</f>
        <v>Open vessel / continuous emission</v>
      </c>
      <c r="C63" s="125" t="s">
        <v>70</v>
      </c>
      <c r="D63" s="125" t="str">
        <f>IF(QZ_Substance="","",IF(QZ_IsGas,"Leak from a joint, valve or fitting","Spill or overflow of the full amount"))</f>
        <v>Spill or overflow of the full amount</v>
      </c>
      <c r="E63" s="126" t="b">
        <f t="shared" si="18"/>
        <v>1</v>
      </c>
      <c r="F63" s="126" t="b">
        <v>1</v>
      </c>
      <c r="G63" s="127">
        <f>IF(QZ_Substance="","",IF(AND($E63,$F63),IFERROR(QZ_W_Spill,"–"),"–"))</f>
        <v>3.1249378584431806E-4</v>
      </c>
      <c r="H63" s="127">
        <f>IF(QZ_Substance="","",IF(AND($E63,$F63),IFERROR(QZ_M_All,"–"),"–"))</f>
        <v>21.675000000000001</v>
      </c>
      <c r="I63" s="128">
        <f>IF(QZ_Substance="","",IF(AND($E63,$F63),IFERROR(INDEX(Tables!$B$15:$B$17,MATCH($C63,Tables!$A$15:$A$17,0)),"–"),"–"))</f>
        <v>0.5</v>
      </c>
      <c r="J63" s="127">
        <f>IF(QZ_Substance="","",IF(AND($E63,$F63),IFERROR($G63/($I63*QZ_LELm)*QZ_TK/Tables!$B$9,"–"),"–"))</f>
        <v>1.631368682263212E-2</v>
      </c>
      <c r="K63" s="129">
        <f t="shared" si="0"/>
        <v>39.152848374317081</v>
      </c>
      <c r="L63" s="129">
        <f>IF(QZ_Substance="","",IF(AND($E63,$F63),IFERROR($H63/($I63*QZ_LELm)*QZ_TK/Tables!$B$9,"–"),"–"))</f>
        <v>1131.53981902447</v>
      </c>
      <c r="M63" s="129">
        <f t="shared" si="1"/>
        <v>39.152848374317081</v>
      </c>
      <c r="N63" s="126" t="b">
        <f t="shared" si="2"/>
        <v>0</v>
      </c>
      <c r="O63" s="126" t="str">
        <f>IF(QZ_Substance="","",IF(AND($E63,$F63),IFERROR(IF($M63&lt;Tables!$B$7,"High",IF(QZ_Outdoor,"Medium",IF($M63&lt;QZ_RoomVol,"Medium","Low"))),"–"),"–"))</f>
        <v>Medium</v>
      </c>
      <c r="P63" s="126" t="str">
        <f>IF(QZ_Substance="","",IF(AND($E63,$F63),IFERROR(INDEX(Tables!$B$22:$J$24,MATCH($C63,Tables!$A$22:$A$24,0),MATCH($O63&amp;"-"&amp;QZ_Avail,Tables!$B$21:$J$21,0)),"–"),"–"))</f>
        <v>Zone 2</v>
      </c>
      <c r="Q63" s="126">
        <f t="shared" si="3"/>
        <v>2</v>
      </c>
      <c r="R63" s="126" t="b">
        <f t="shared" si="4"/>
        <v>0</v>
      </c>
      <c r="S63" s="128">
        <f t="shared" si="5"/>
        <v>2.6540040603836981</v>
      </c>
      <c r="T63" s="126" t="str">
        <f t="shared" si="6"/>
        <v>–</v>
      </c>
      <c r="U63" s="129">
        <f t="shared" si="7"/>
        <v>234.91709024590253</v>
      </c>
      <c r="V63" s="129">
        <f t="shared" si="8"/>
        <v>234.91709024590253</v>
      </c>
      <c r="W63" s="126" t="b">
        <f t="shared" si="9"/>
        <v>0</v>
      </c>
      <c r="X63" s="128" t="str">
        <f t="shared" si="10"/>
        <v>–</v>
      </c>
      <c r="Y63" s="130">
        <f>IF(QZ_Substance="","",IF(AND($E63,$F63),IFERROR(-QZ_f/QZ_C*LN(QZ_LFL*$I63/Tables!$B$6)/60,"–"),"–"))</f>
        <v>211.93269466192143</v>
      </c>
      <c r="Z63" s="126" t="b">
        <f t="shared" si="11"/>
        <v>0</v>
      </c>
      <c r="AA63" s="128" t="str">
        <f t="shared" si="12"/>
        <v/>
      </c>
      <c r="AB63" s="128" t="str">
        <f t="shared" si="13"/>
        <v/>
      </c>
      <c r="AC63" s="128">
        <f t="shared" si="14"/>
        <v>2.6540040603836981</v>
      </c>
      <c r="AD63" s="128" t="str">
        <f t="shared" si="15"/>
        <v/>
      </c>
      <c r="AE63" s="128" t="str">
        <f t="shared" si="16"/>
        <v/>
      </c>
      <c r="AF63" s="128" t="str">
        <f t="shared" si="17"/>
        <v/>
      </c>
    </row>
    <row r="64" spans="2:32" x14ac:dyDescent="0.35">
      <c r="B64" s="119" t="str">
        <f>Tables!$A$46</f>
        <v>Open tin or tray</v>
      </c>
      <c r="C64" s="119" t="s">
        <v>68</v>
      </c>
      <c r="D64" s="119" t="str">
        <f>IF(QZ_Substance="","",IF(QZ_IsGas,"Continuous emission from the vent or opening","Evaporation from the open liquid surface"))</f>
        <v>Evaporation from the open liquid surface</v>
      </c>
      <c r="E64" s="120" t="b">
        <f t="shared" si="18"/>
        <v>1</v>
      </c>
      <c r="F64" s="120" t="b">
        <v>1</v>
      </c>
      <c r="G64" s="121">
        <f>IF(QZ_Substance="","",IF(AND($E64,$F64),IFERROR(QZ_W_Surface,"–"),"–"))</f>
        <v>6.249875716886362E-6</v>
      </c>
      <c r="H64" s="121">
        <f>IF(QZ_Substance="","",IF(AND($E64,$F64),IFERROR(QZ_M_All,"–"),"–"))</f>
        <v>21.675000000000001</v>
      </c>
      <c r="I64" s="122">
        <f>IF(QZ_Substance="","",IF(AND($E64,$F64),IFERROR(INDEX(Tables!$B$15:$B$17,MATCH($C64,Tables!$A$15:$A$17,0)),"–"),"–"))</f>
        <v>0.25</v>
      </c>
      <c r="J64" s="121">
        <f>IF(QZ_Substance="","",IF(AND($E64,$F64),IFERROR($G64/($I64*QZ_LELm)*QZ_TK/Tables!$B$9,"–"),"–"))</f>
        <v>6.5254747290528477E-4</v>
      </c>
      <c r="K64" s="123">
        <f t="shared" si="0"/>
        <v>1.5661139349726834</v>
      </c>
      <c r="L64" s="123">
        <f>IF(QZ_Substance="","",IF(AND($E64,$F64),IFERROR($H64/($I64*QZ_LELm)*QZ_TK/Tables!$B$9,"–"),"–"))</f>
        <v>2263.0796380489401</v>
      </c>
      <c r="M64" s="123">
        <f t="shared" si="1"/>
        <v>1.5661139349726834</v>
      </c>
      <c r="N64" s="120" t="b">
        <f t="shared" si="2"/>
        <v>0</v>
      </c>
      <c r="O64" s="120" t="str">
        <f>IF(QZ_Substance="","",IF(AND($E64,$F64),IFERROR(IF($M64&lt;Tables!$B$7,"High",IF(QZ_Outdoor,"Medium",IF($M64&lt;QZ_RoomVol,"Medium","Low"))),"–"),"–"))</f>
        <v>Medium</v>
      </c>
      <c r="P64" s="120" t="str">
        <f>IF(QZ_Substance="","",IF(AND($E64,$F64),IFERROR(INDEX(Tables!$B$22:$J$24,MATCH($C64,Tables!$A$22:$A$24,0),MATCH($O64&amp;"-"&amp;QZ_Avail,Tables!$B$21:$J$21,0)),"–"),"–"))</f>
        <v>Zone 0</v>
      </c>
      <c r="Q64" s="120">
        <f t="shared" si="3"/>
        <v>0</v>
      </c>
      <c r="R64" s="120" t="b">
        <f t="shared" si="4"/>
        <v>0</v>
      </c>
      <c r="S64" s="122">
        <f t="shared" si="5"/>
        <v>0.90765662112768231</v>
      </c>
      <c r="T64" s="120" t="str">
        <f t="shared" si="6"/>
        <v>–</v>
      </c>
      <c r="U64" s="123">
        <f t="shared" si="7"/>
        <v>9.3966836098361011</v>
      </c>
      <c r="V64" s="123">
        <f t="shared" si="8"/>
        <v>9.3966836098361011</v>
      </c>
      <c r="W64" s="120" t="b">
        <f t="shared" si="9"/>
        <v>0</v>
      </c>
      <c r="X64" s="122" t="str">
        <f t="shared" si="10"/>
        <v>–</v>
      </c>
      <c r="Y64" s="124">
        <f>IF(QZ_Substance="","",IF(AND($E64,$F64),IFERROR(-QZ_f/QZ_C*LN(QZ_LFL*$I64/Tables!$B$6)/60,"–"),"–"))</f>
        <v>239.65858188431926</v>
      </c>
      <c r="Z64" s="120" t="b">
        <f t="shared" si="11"/>
        <v>0</v>
      </c>
      <c r="AA64" s="122">
        <f t="shared" si="12"/>
        <v>0.90765662112768231</v>
      </c>
      <c r="AB64" s="122" t="str">
        <f t="shared" si="13"/>
        <v/>
      </c>
      <c r="AC64" s="122" t="str">
        <f t="shared" si="14"/>
        <v/>
      </c>
      <c r="AD64" s="122" t="str">
        <f t="shared" si="15"/>
        <v/>
      </c>
      <c r="AE64" s="122" t="str">
        <f t="shared" si="16"/>
        <v/>
      </c>
      <c r="AF64" s="122" t="str">
        <f t="shared" si="17"/>
        <v/>
      </c>
    </row>
    <row r="65" spans="2:32" x14ac:dyDescent="0.35">
      <c r="B65" s="119" t="str">
        <f>Tables!$A$46</f>
        <v>Open tin or tray</v>
      </c>
      <c r="C65" s="119" t="s">
        <v>69</v>
      </c>
      <c r="D65" s="119" t="str">
        <f>IF(QZ_Substance="","",IF(QZ_IsGas,"No other release in normal operation","No other release in normal operation"))</f>
        <v>No other release in normal operation</v>
      </c>
      <c r="E65" s="120" t="b">
        <f>IF(QZ_Substance="","",FALSE)</f>
        <v>0</v>
      </c>
      <c r="F65" s="120" t="b">
        <v>0</v>
      </c>
      <c r="G65" s="121" t="str">
        <f>IF(QZ_Substance="","","–")</f>
        <v>–</v>
      </c>
      <c r="H65" s="121" t="str">
        <f>IF(QZ_Substance="","","–")</f>
        <v>–</v>
      </c>
      <c r="I65" s="122" t="str">
        <f>IF(QZ_Substance="","",IF(AND($E65,$F65),IFERROR(INDEX(Tables!$B$15:$B$17,MATCH($C65,Tables!$A$15:$A$17,0)),"–"),"–"))</f>
        <v>–</v>
      </c>
      <c r="J65" s="121" t="str">
        <f>IF(QZ_Substance="","",IF(AND($E65,$F65),IFERROR($G65/($I65*QZ_LELm)*QZ_TK/Tables!$B$9,"–"),"–"))</f>
        <v>–</v>
      </c>
      <c r="K65" s="123" t="str">
        <f t="shared" si="0"/>
        <v>–</v>
      </c>
      <c r="L65" s="123" t="str">
        <f>IF(QZ_Substance="","",IF(AND($E65,$F65),IFERROR($H65/($I65*QZ_LELm)*QZ_TK/Tables!$B$9,"–"),"–"))</f>
        <v>–</v>
      </c>
      <c r="M65" s="123" t="str">
        <f t="shared" si="1"/>
        <v>–</v>
      </c>
      <c r="N65" s="120" t="str">
        <f t="shared" si="2"/>
        <v>–</v>
      </c>
      <c r="O65" s="120" t="str">
        <f>IF(QZ_Substance="","",IF(AND($E65,$F65),IFERROR(IF($M65&lt;Tables!$B$7,"High",IF(QZ_Outdoor,"Medium",IF($M65&lt;QZ_RoomVol,"Medium","Low"))),"–"),"–"))</f>
        <v>–</v>
      </c>
      <c r="P65" s="120" t="str">
        <f>IF(QZ_Substance="","",IF(AND($E65,$F65),IFERROR(INDEX(Tables!$B$22:$J$24,MATCH($C65,Tables!$A$22:$A$24,0),MATCH($O65&amp;"-"&amp;QZ_Avail,Tables!$B$21:$J$21,0)),"–"),"–"))</f>
        <v>–</v>
      </c>
      <c r="Q65" s="120" t="str">
        <f t="shared" si="3"/>
        <v>–</v>
      </c>
      <c r="R65" s="120" t="str">
        <f t="shared" si="4"/>
        <v>–</v>
      </c>
      <c r="S65" s="122" t="str">
        <f t="shared" si="5"/>
        <v>–</v>
      </c>
      <c r="T65" s="120" t="str">
        <f t="shared" si="6"/>
        <v>–</v>
      </c>
      <c r="U65" s="123" t="str">
        <f t="shared" si="7"/>
        <v>–</v>
      </c>
      <c r="V65" s="123" t="str">
        <f t="shared" si="8"/>
        <v>–</v>
      </c>
      <c r="W65" s="120" t="str">
        <f t="shared" si="9"/>
        <v>–</v>
      </c>
      <c r="X65" s="122" t="str">
        <f t="shared" si="10"/>
        <v>–</v>
      </c>
      <c r="Y65" s="124" t="str">
        <f>IF(QZ_Substance="","",IF(AND($E65,$F65),IFERROR(-QZ_f/QZ_C*LN(QZ_LFL*$I65/Tables!$B$6)/60,"–"),"–"))</f>
        <v>–</v>
      </c>
      <c r="Z65" s="120" t="str">
        <f t="shared" si="11"/>
        <v>–</v>
      </c>
      <c r="AA65" s="122" t="str">
        <f t="shared" si="12"/>
        <v/>
      </c>
      <c r="AB65" s="122" t="str">
        <f t="shared" si="13"/>
        <v/>
      </c>
      <c r="AC65" s="122" t="str">
        <f t="shared" si="14"/>
        <v/>
      </c>
      <c r="AD65" s="122" t="str">
        <f t="shared" si="15"/>
        <v/>
      </c>
      <c r="AE65" s="122" t="str">
        <f t="shared" si="16"/>
        <v/>
      </c>
      <c r="AF65" s="122" t="str">
        <f t="shared" si="17"/>
        <v/>
      </c>
    </row>
    <row r="66" spans="2:32" x14ac:dyDescent="0.35">
      <c r="B66" s="125" t="str">
        <f>Tables!$A$46</f>
        <v>Open tin or tray</v>
      </c>
      <c r="C66" s="125" t="s">
        <v>70</v>
      </c>
      <c r="D66" s="125" t="str">
        <f>IF(QZ_Substance="","",IF(QZ_IsGas,"Leak from a joint, valve or fitting","Spill of the full amount"))</f>
        <v>Spill of the full amount</v>
      </c>
      <c r="E66" s="126" t="b">
        <f>IF(QZ_Substance="","",TRUE)</f>
        <v>1</v>
      </c>
      <c r="F66" s="126" t="b">
        <v>1</v>
      </c>
      <c r="G66" s="127">
        <f>IF(QZ_Substance="","",IF(AND($E66,$F66),IFERROR(QZ_W_Spill,"–"),"–"))</f>
        <v>3.1249378584431806E-4</v>
      </c>
      <c r="H66" s="127">
        <f>IF(QZ_Substance="","",IF(AND($E66,$F66),IFERROR(QZ_M_All,"–"),"–"))</f>
        <v>21.675000000000001</v>
      </c>
      <c r="I66" s="128">
        <f>IF(QZ_Substance="","",IF(AND($E66,$F66),IFERROR(INDEX(Tables!$B$15:$B$17,MATCH($C66,Tables!$A$15:$A$17,0)),"–"),"–"))</f>
        <v>0.5</v>
      </c>
      <c r="J66" s="127">
        <f>IF(QZ_Substance="","",IF(AND($E66,$F66),IFERROR($G66/($I66*QZ_LELm)*QZ_TK/Tables!$B$9,"–"),"–"))</f>
        <v>1.631368682263212E-2</v>
      </c>
      <c r="K66" s="129">
        <f t="shared" si="0"/>
        <v>39.152848374317081</v>
      </c>
      <c r="L66" s="129">
        <f>IF(QZ_Substance="","",IF(AND($E66,$F66),IFERROR($H66/($I66*QZ_LELm)*QZ_TK/Tables!$B$9,"–"),"–"))</f>
        <v>1131.53981902447</v>
      </c>
      <c r="M66" s="129">
        <f t="shared" si="1"/>
        <v>39.152848374317081</v>
      </c>
      <c r="N66" s="126" t="b">
        <f t="shared" si="2"/>
        <v>0</v>
      </c>
      <c r="O66" s="126" t="str">
        <f>IF(QZ_Substance="","",IF(AND($E66,$F66),IFERROR(IF($M66&lt;Tables!$B$7,"High",IF(QZ_Outdoor,"Medium",IF($M66&lt;QZ_RoomVol,"Medium","Low"))),"–"),"–"))</f>
        <v>Medium</v>
      </c>
      <c r="P66" s="126" t="str">
        <f>IF(QZ_Substance="","",IF(AND($E66,$F66),IFERROR(INDEX(Tables!$B$22:$J$24,MATCH($C66,Tables!$A$22:$A$24,0),MATCH($O66&amp;"-"&amp;QZ_Avail,Tables!$B$21:$J$21,0)),"–"),"–"))</f>
        <v>Zone 2</v>
      </c>
      <c r="Q66" s="126">
        <f t="shared" si="3"/>
        <v>2</v>
      </c>
      <c r="R66" s="126" t="b">
        <f t="shared" si="4"/>
        <v>0</v>
      </c>
      <c r="S66" s="128">
        <f t="shared" si="5"/>
        <v>2.6540040603836981</v>
      </c>
      <c r="T66" s="126" t="str">
        <f t="shared" si="6"/>
        <v>–</v>
      </c>
      <c r="U66" s="129">
        <f t="shared" si="7"/>
        <v>234.91709024590253</v>
      </c>
      <c r="V66" s="129">
        <f t="shared" si="8"/>
        <v>234.91709024590253</v>
      </c>
      <c r="W66" s="126" t="b">
        <f t="shared" si="9"/>
        <v>0</v>
      </c>
      <c r="X66" s="128" t="str">
        <f t="shared" si="10"/>
        <v>–</v>
      </c>
      <c r="Y66" s="130">
        <f>IF(QZ_Substance="","",IF(AND($E66,$F66),IFERROR(-QZ_f/QZ_C*LN(QZ_LFL*$I66/Tables!$B$6)/60,"–"),"–"))</f>
        <v>211.93269466192143</v>
      </c>
      <c r="Z66" s="126" t="b">
        <f t="shared" si="11"/>
        <v>0</v>
      </c>
      <c r="AA66" s="128" t="str">
        <f t="shared" si="12"/>
        <v/>
      </c>
      <c r="AB66" s="128" t="str">
        <f t="shared" si="13"/>
        <v/>
      </c>
      <c r="AC66" s="128">
        <f t="shared" si="14"/>
        <v>2.6540040603836981</v>
      </c>
      <c r="AD66" s="128" t="str">
        <f t="shared" si="15"/>
        <v/>
      </c>
      <c r="AE66" s="128" t="str">
        <f t="shared" si="16"/>
        <v/>
      </c>
      <c r="AF66" s="128" t="str">
        <f t="shared" si="17"/>
        <v/>
      </c>
    </row>
    <row r="67" spans="2:32" x14ac:dyDescent="0.35">
      <c r="B67" s="119" t="str">
        <f>Tables!$A$47</f>
        <v>Wiping with solvent rags</v>
      </c>
      <c r="C67" s="119" t="s">
        <v>68</v>
      </c>
      <c r="D67" s="119" t="str">
        <f>IF(QZ_Substance="","",IF(QZ_IsGas,"Vapour space inside the solvent container","Vapour space inside the solvent container"))</f>
        <v>Vapour space inside the solvent container</v>
      </c>
      <c r="E67" s="120" t="b">
        <f>IF(QZ_Substance="","",QZ_Interior)</f>
        <v>1</v>
      </c>
      <c r="F67" s="120" t="b">
        <v>0</v>
      </c>
      <c r="G67" s="121" t="str">
        <f>IF(QZ_Substance="","","–")</f>
        <v>–</v>
      </c>
      <c r="H67" s="121" t="str">
        <f>IF(QZ_Substance="","","–")</f>
        <v>–</v>
      </c>
      <c r="I67" s="122" t="str">
        <f>IF(QZ_Substance="","",IF(AND($E67,$F67),IFERROR(INDEX(Tables!$B$15:$B$17,MATCH($C67,Tables!$A$15:$A$17,0)),"–"),"–"))</f>
        <v>–</v>
      </c>
      <c r="J67" s="121" t="str">
        <f>IF(QZ_Substance="","",IF(AND($E67,$F67),IFERROR($G67/($I67*QZ_LELm)*QZ_TK/Tables!$B$9,"–"),"–"))</f>
        <v>–</v>
      </c>
      <c r="K67" s="123" t="str">
        <f t="shared" si="0"/>
        <v>–</v>
      </c>
      <c r="L67" s="123" t="str">
        <f>IF(QZ_Substance="","",IF(AND($E67,$F67),IFERROR($H67/($I67*QZ_LELm)*QZ_TK/Tables!$B$9,"–"),"–"))</f>
        <v>–</v>
      </c>
      <c r="M67" s="123" t="str">
        <f t="shared" si="1"/>
        <v>–</v>
      </c>
      <c r="N67" s="120" t="str">
        <f t="shared" si="2"/>
        <v>–</v>
      </c>
      <c r="O67" s="120" t="str">
        <f>IF(QZ_Substance="","",IF(AND($E67,$F67),IFERROR(IF($M67&lt;Tables!$B$7,"High",IF(QZ_Outdoor,"Medium",IF($M67&lt;QZ_RoomVol,"Medium","Low"))),"–"),"–"))</f>
        <v>–</v>
      </c>
      <c r="P67" s="120" t="str">
        <f>IF(QZ_Substance="","",IF(AND($E67,$F67),IFERROR(INDEX(Tables!$B$22:$J$24,MATCH($C67,Tables!$A$22:$A$24,0),MATCH($O67&amp;"-"&amp;QZ_Avail,Tables!$B$21:$J$21,0)),"–"),"–"))</f>
        <v>–</v>
      </c>
      <c r="Q67" s="120" t="str">
        <f t="shared" si="3"/>
        <v>–</v>
      </c>
      <c r="R67" s="120" t="str">
        <f t="shared" si="4"/>
        <v>–</v>
      </c>
      <c r="S67" s="122" t="str">
        <f t="shared" si="5"/>
        <v>–</v>
      </c>
      <c r="T67" s="120" t="str">
        <f t="shared" si="6"/>
        <v>–</v>
      </c>
      <c r="U67" s="123" t="str">
        <f t="shared" si="7"/>
        <v>–</v>
      </c>
      <c r="V67" s="123" t="str">
        <f t="shared" si="8"/>
        <v>–</v>
      </c>
      <c r="W67" s="120" t="str">
        <f t="shared" si="9"/>
        <v>–</v>
      </c>
      <c r="X67" s="122" t="str">
        <f t="shared" si="10"/>
        <v>–</v>
      </c>
      <c r="Y67" s="124" t="str">
        <f>IF(QZ_Substance="","",IF(AND($E67,$F67),IFERROR(-QZ_f/QZ_C*LN(QZ_LFL*$I67/Tables!$B$6)/60,"–"),"–"))</f>
        <v>–</v>
      </c>
      <c r="Z67" s="120" t="str">
        <f t="shared" si="11"/>
        <v>–</v>
      </c>
      <c r="AA67" s="122">
        <f t="shared" si="12"/>
        <v>0</v>
      </c>
      <c r="AB67" s="122" t="str">
        <f t="shared" si="13"/>
        <v/>
      </c>
      <c r="AC67" s="122" t="str">
        <f t="shared" si="14"/>
        <v/>
      </c>
      <c r="AD67" s="122" t="str">
        <f t="shared" si="15"/>
        <v/>
      </c>
      <c r="AE67" s="122" t="str">
        <f t="shared" si="16"/>
        <v/>
      </c>
      <c r="AF67" s="122" t="str">
        <f t="shared" si="17"/>
        <v/>
      </c>
    </row>
    <row r="68" spans="2:32" x14ac:dyDescent="0.35">
      <c r="B68" s="119" t="str">
        <f>Tables!$A$47</f>
        <v>Wiping with solvent rags</v>
      </c>
      <c r="C68" s="119" t="s">
        <v>69</v>
      </c>
      <c r="D68" s="119" t="str">
        <f>IF(QZ_Substance="","",IF(QZ_IsGas,"Release while wiping","Evaporation from the wet rag and the wiped surface"))</f>
        <v>Evaporation from the wet rag and the wiped surface</v>
      </c>
      <c r="E68" s="120" t="b">
        <f>IF(QZ_Substance="","",TRUE)</f>
        <v>1</v>
      </c>
      <c r="F68" s="120" t="b">
        <v>1</v>
      </c>
      <c r="G68" s="121">
        <f>IF(QZ_Substance="","",IF(AND($E68,$F68),IFERROR(QZ_W_Wipe,"–"),"–"))</f>
        <v>1.2499751433772724E-5</v>
      </c>
      <c r="H68" s="121">
        <f>IF(QZ_Substance="","",IF(AND($E68,$F68),IFERROR(QZ_M_All,"–"),"–"))</f>
        <v>21.675000000000001</v>
      </c>
      <c r="I68" s="122">
        <f>IF(QZ_Substance="","",IF(AND($E68,$F68),IFERROR(INDEX(Tables!$B$15:$B$17,MATCH($C68,Tables!$A$15:$A$17,0)),"–"),"–"))</f>
        <v>0.25</v>
      </c>
      <c r="J68" s="121">
        <f>IF(QZ_Substance="","",IF(AND($E68,$F68),IFERROR($G68/($I68*QZ_LELm)*QZ_TK/Tables!$B$9,"–"),"–"))</f>
        <v>1.3050949458105695E-3</v>
      </c>
      <c r="K68" s="123">
        <f t="shared" si="0"/>
        <v>3.1322278699453667</v>
      </c>
      <c r="L68" s="123">
        <f>IF(QZ_Substance="","",IF(AND($E68,$F68),IFERROR($H68/($I68*QZ_LELm)*QZ_TK/Tables!$B$9,"–"),"–"))</f>
        <v>2263.0796380489401</v>
      </c>
      <c r="M68" s="123">
        <f t="shared" si="1"/>
        <v>3.1322278699453667</v>
      </c>
      <c r="N68" s="120" t="b">
        <f t="shared" si="2"/>
        <v>0</v>
      </c>
      <c r="O68" s="120" t="str">
        <f>IF(QZ_Substance="","",IF(AND($E68,$F68),IFERROR(IF($M68&lt;Tables!$B$7,"High",IF(QZ_Outdoor,"Medium",IF($M68&lt;QZ_RoomVol,"Medium","Low"))),"–"),"–"))</f>
        <v>Medium</v>
      </c>
      <c r="P68" s="120" t="str">
        <f>IF(QZ_Substance="","",IF(AND($E68,$F68),IFERROR(INDEX(Tables!$B$22:$J$24,MATCH($C68,Tables!$A$22:$A$24,0),MATCH($O68&amp;"-"&amp;QZ_Avail,Tables!$B$21:$J$21,0)),"–"),"–"))</f>
        <v>Zone 1</v>
      </c>
      <c r="Q68" s="120">
        <f t="shared" si="3"/>
        <v>1</v>
      </c>
      <c r="R68" s="120" t="b">
        <f t="shared" si="4"/>
        <v>0</v>
      </c>
      <c r="S68" s="122">
        <f t="shared" si="5"/>
        <v>1.1435756830352226</v>
      </c>
      <c r="T68" s="120" t="str">
        <f t="shared" si="6"/>
        <v>–</v>
      </c>
      <c r="U68" s="123">
        <f t="shared" si="7"/>
        <v>18.793367219672202</v>
      </c>
      <c r="V68" s="123">
        <f t="shared" si="8"/>
        <v>18.793367219672202</v>
      </c>
      <c r="W68" s="120" t="b">
        <f t="shared" si="9"/>
        <v>0</v>
      </c>
      <c r="X68" s="122" t="str">
        <f t="shared" si="10"/>
        <v>–</v>
      </c>
      <c r="Y68" s="124">
        <f>IF(QZ_Substance="","",IF(AND($E68,$F68),IFERROR(-QZ_f/QZ_C*LN(QZ_LFL*$I68/Tables!$B$6)/60,"–"),"–"))</f>
        <v>239.65858188431926</v>
      </c>
      <c r="Z68" s="120" t="b">
        <f t="shared" si="11"/>
        <v>0</v>
      </c>
      <c r="AA68" s="122" t="str">
        <f t="shared" si="12"/>
        <v/>
      </c>
      <c r="AB68" s="122">
        <f t="shared" si="13"/>
        <v>1.1435756830352226</v>
      </c>
      <c r="AC68" s="122" t="str">
        <f t="shared" si="14"/>
        <v/>
      </c>
      <c r="AD68" s="122" t="str">
        <f t="shared" si="15"/>
        <v/>
      </c>
      <c r="AE68" s="122" t="str">
        <f t="shared" si="16"/>
        <v/>
      </c>
      <c r="AF68" s="122" t="str">
        <f t="shared" si="17"/>
        <v/>
      </c>
    </row>
    <row r="69" spans="2:32" x14ac:dyDescent="0.35">
      <c r="B69" s="125" t="str">
        <f>Tables!$A$47</f>
        <v>Wiping with solvent rags</v>
      </c>
      <c r="C69" s="125" t="s">
        <v>70</v>
      </c>
      <c r="D69" s="125" t="str">
        <f>IF(QZ_Substance="","",IF(QZ_IsGas,"Leak from a joint, valve or fitting","Spill of the full amount"))</f>
        <v>Spill of the full amount</v>
      </c>
      <c r="E69" s="126" t="b">
        <f>IF(QZ_Substance="","",TRUE)</f>
        <v>1</v>
      </c>
      <c r="F69" s="126" t="b">
        <v>1</v>
      </c>
      <c r="G69" s="127">
        <f>IF(QZ_Substance="","",IF(AND($E69,$F69),IFERROR(QZ_W_Spill,"–"),"–"))</f>
        <v>3.1249378584431806E-4</v>
      </c>
      <c r="H69" s="127">
        <f>IF(QZ_Substance="","",IF(AND($E69,$F69),IFERROR(QZ_M_All,"–"),"–"))</f>
        <v>21.675000000000001</v>
      </c>
      <c r="I69" s="128">
        <f>IF(QZ_Substance="","",IF(AND($E69,$F69),IFERROR(INDEX(Tables!$B$15:$B$17,MATCH($C69,Tables!$A$15:$A$17,0)),"–"),"–"))</f>
        <v>0.5</v>
      </c>
      <c r="J69" s="127">
        <f>IF(QZ_Substance="","",IF(AND($E69,$F69),IFERROR($G69/($I69*QZ_LELm)*QZ_TK/Tables!$B$9,"–"),"–"))</f>
        <v>1.631368682263212E-2</v>
      </c>
      <c r="K69" s="129">
        <f t="shared" si="0"/>
        <v>39.152848374317081</v>
      </c>
      <c r="L69" s="129">
        <f>IF(QZ_Substance="","",IF(AND($E69,$F69),IFERROR($H69/($I69*QZ_LELm)*QZ_TK/Tables!$B$9,"–"),"–"))</f>
        <v>1131.53981902447</v>
      </c>
      <c r="M69" s="129">
        <f t="shared" si="1"/>
        <v>39.152848374317081</v>
      </c>
      <c r="N69" s="126" t="b">
        <f t="shared" si="2"/>
        <v>0</v>
      </c>
      <c r="O69" s="126" t="str">
        <f>IF(QZ_Substance="","",IF(AND($E69,$F69),IFERROR(IF($M69&lt;Tables!$B$7,"High",IF(QZ_Outdoor,"Medium",IF($M69&lt;QZ_RoomVol,"Medium","Low"))),"–"),"–"))</f>
        <v>Medium</v>
      </c>
      <c r="P69" s="126" t="str">
        <f>IF(QZ_Substance="","",IF(AND($E69,$F69),IFERROR(INDEX(Tables!$B$22:$J$24,MATCH($C69,Tables!$A$22:$A$24,0),MATCH($O69&amp;"-"&amp;QZ_Avail,Tables!$B$21:$J$21,0)),"–"),"–"))</f>
        <v>Zone 2</v>
      </c>
      <c r="Q69" s="126">
        <f t="shared" si="3"/>
        <v>2</v>
      </c>
      <c r="R69" s="126" t="b">
        <f t="shared" si="4"/>
        <v>0</v>
      </c>
      <c r="S69" s="128">
        <f t="shared" si="5"/>
        <v>2.6540040603836981</v>
      </c>
      <c r="T69" s="126" t="str">
        <f t="shared" si="6"/>
        <v>–</v>
      </c>
      <c r="U69" s="129">
        <f t="shared" si="7"/>
        <v>234.91709024590253</v>
      </c>
      <c r="V69" s="129">
        <f t="shared" si="8"/>
        <v>234.91709024590253</v>
      </c>
      <c r="W69" s="126" t="b">
        <f t="shared" si="9"/>
        <v>0</v>
      </c>
      <c r="X69" s="128" t="str">
        <f t="shared" si="10"/>
        <v>–</v>
      </c>
      <c r="Y69" s="130">
        <f>IF(QZ_Substance="","",IF(AND($E69,$F69),IFERROR(-QZ_f/QZ_C*LN(QZ_LFL*$I69/Tables!$B$6)/60,"–"),"–"))</f>
        <v>211.93269466192143</v>
      </c>
      <c r="Z69" s="126" t="b">
        <f t="shared" si="11"/>
        <v>0</v>
      </c>
      <c r="AA69" s="128" t="str">
        <f t="shared" si="12"/>
        <v/>
      </c>
      <c r="AB69" s="128" t="str">
        <f t="shared" si="13"/>
        <v/>
      </c>
      <c r="AC69" s="128">
        <f t="shared" si="14"/>
        <v>2.6540040603836981</v>
      </c>
      <c r="AD69" s="128" t="str">
        <f t="shared" si="15"/>
        <v/>
      </c>
      <c r="AE69" s="128" t="str">
        <f t="shared" si="16"/>
        <v/>
      </c>
      <c r="AF69" s="128" t="str">
        <f t="shared" si="17"/>
        <v/>
      </c>
    </row>
    <row r="70" spans="2:32" x14ac:dyDescent="0.35">
      <c r="B70" s="131" t="s">
        <v>435</v>
      </c>
    </row>
    <row r="72" spans="2:32" ht="24" customHeight="1" x14ac:dyDescent="0.35">
      <c r="B72" s="101" t="s">
        <v>436</v>
      </c>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row>
    <row r="73" spans="2:32" ht="40" customHeight="1" x14ac:dyDescent="0.35">
      <c r="B73" s="118" t="s">
        <v>9</v>
      </c>
      <c r="C73" s="81" t="s">
        <v>437</v>
      </c>
      <c r="D73" s="81" t="s">
        <v>438</v>
      </c>
      <c r="E73" s="81" t="s">
        <v>439</v>
      </c>
      <c r="F73" s="81" t="s">
        <v>440</v>
      </c>
      <c r="G73" s="81" t="s">
        <v>441</v>
      </c>
      <c r="H73" s="81" t="s">
        <v>442</v>
      </c>
      <c r="I73" s="81" t="s">
        <v>443</v>
      </c>
      <c r="J73" s="81" t="s">
        <v>444</v>
      </c>
      <c r="K73" s="81" t="s">
        <v>445</v>
      </c>
      <c r="L73" s="81" t="s">
        <v>446</v>
      </c>
      <c r="M73" s="81" t="s">
        <v>447</v>
      </c>
      <c r="N73" s="81" t="s">
        <v>448</v>
      </c>
      <c r="O73" s="81" t="s">
        <v>449</v>
      </c>
      <c r="P73" s="81" t="s">
        <v>450</v>
      </c>
      <c r="Q73" s="81" t="s">
        <v>451</v>
      </c>
      <c r="R73" s="81" t="s">
        <v>452</v>
      </c>
      <c r="S73" s="81" t="s">
        <v>453</v>
      </c>
      <c r="T73" s="81" t="s">
        <v>454</v>
      </c>
      <c r="U73" s="81" t="s">
        <v>455</v>
      </c>
      <c r="V73" s="81" t="s">
        <v>456</v>
      </c>
      <c r="W73" s="81" t="s">
        <v>457</v>
      </c>
      <c r="X73" s="81" t="s">
        <v>458</v>
      </c>
      <c r="Y73" s="81" t="s">
        <v>459</v>
      </c>
      <c r="Z73" s="81" t="s">
        <v>460</v>
      </c>
      <c r="AA73" s="81" t="s">
        <v>461</v>
      </c>
      <c r="AB73" s="81" t="s">
        <v>462</v>
      </c>
      <c r="AC73" s="81" t="s">
        <v>428</v>
      </c>
      <c r="AD73" s="81" t="s">
        <v>417</v>
      </c>
    </row>
    <row r="74" spans="2:32" x14ac:dyDescent="0.35">
      <c r="B74" s="119" t="str">
        <f>Tables!$A$43</f>
        <v>Closed containers / sealed system</v>
      </c>
      <c r="C74" s="120" t="b">
        <f>IF(QZ_Substance="","",QZ_Interior)</f>
        <v>1</v>
      </c>
      <c r="D74" s="122">
        <f>IF(QZ_Substance="","",IF(COUNT($AA$55:$AA$57)=0,-1,MAX($AA$55:$AA$57)))</f>
        <v>0</v>
      </c>
      <c r="E74" s="122">
        <f>IF(QZ_Substance="","",IF(COUNT($AB$55:$AB$57)=0,-1,MAX($AB$55:$AB$57)))</f>
        <v>-1</v>
      </c>
      <c r="F74" s="122">
        <f>IF(QZ_Substance="","",IF(COUNT($AC$55:$AC$57)=0,-1,MAX($AC$55:$AC$57)))</f>
        <v>2.6540040603836981</v>
      </c>
      <c r="G74" s="122">
        <f>IF(QZ_Substance="","",IF(COUNT($AD$55:$AD$57)=0,-1,MAX($AD$55:$AD$57)))</f>
        <v>-1</v>
      </c>
      <c r="H74" s="122">
        <f>IF(QZ_Substance="","",IF(COUNT($AE$55:$AE$57)=0,-1,MAX($AE$55:$AE$57)))</f>
        <v>-1</v>
      </c>
      <c r="I74" s="122">
        <f>IF(QZ_Substance="","",IF(COUNT($AF$55:$AF$57)=0,-1,MAX($AF$55:$AF$57)))</f>
        <v>-1</v>
      </c>
      <c r="J74" s="122">
        <f>IF(QZ_Substance="","",IF($D74&gt;=0,$D74,IF($C74,0,-1)))</f>
        <v>0</v>
      </c>
      <c r="K74" s="122">
        <f>IF(QZ_Substance="","",IF($J74&gt;=9999,-2,IF($E74&lt;0,-1,IF($E74&gt;=9999,9999,IF(AND($J74&gt;0,$E74&lt;=$J74),-3,$E74)))))</f>
        <v>-1</v>
      </c>
      <c r="L74" s="122">
        <f>IF(QZ_Substance="","",IF(OR($J74&gt;=9999,$K74&gt;=9999),-2,IF($F74&lt;0,-1,IF($F74&gt;=9999,9999,IF(AND(MAX($J74,$K74)&gt;0,$F74&lt;=MAX($J74,$K74)),-3,$F74)))))</f>
        <v>2.6540040603836981</v>
      </c>
      <c r="M74" s="120" t="str">
        <f>IF(QZ_Substance="","",IF($J74=-1,IF($G74&gt;=0,"Negligible (NE), "&amp;TEXT($G74,"0.00")&amp;" m","None"),IF($J74&gt;=9999,"Whole room",IF($J74=0,"Inside the containers",IF($C74,"Inside + "&amp;TEXT($J74,"0.00")&amp;" m",TEXT($J74,"0.00")&amp;" m")))))</f>
        <v>Inside the containers</v>
      </c>
      <c r="N74" s="120" t="str">
        <f>IF(QZ_Substance="","",IF($K74=-2,"Within whole-room Zone 0",IF($K74=-3,"Within Zone 0",IF($K74=-1,IF($H74&gt;=0,"Negligible (NE), "&amp;TEXT($H74,"0.00")&amp;" m","None"),IF($K74&gt;=9999,"Whole room",TEXT($K74,"0.00")&amp;" m")))))</f>
        <v>None</v>
      </c>
      <c r="O74" s="120" t="str">
        <f>IF(QZ_Substance="","",IF($L74=-2,IF($J74&gt;=9999,"Within whole-room Zone 0","Within whole-room Zone 1"),IF($L74=-3,IF($K74&gt;0,"Within Zone 1","Within Zone 0"),IF($L74=-1,IF($I74&gt;=0,"Negligible (NE), "&amp;TEXT($I74,"0.00")&amp;" m","None"),IF($L74&gt;=9999,"Whole room",TEXT($L74,"0.00")&amp;" m")))))</f>
        <v>2.65 m</v>
      </c>
      <c r="P74" s="120" t="b">
        <f>IF(QZ_Substance="","",OR($J74&gt;0,AND($J74=0,$C74)))</f>
        <v>1</v>
      </c>
      <c r="Q74" s="120" t="b">
        <f>IF(QZ_Substance="","",$K74&gt;0)</f>
        <v>0</v>
      </c>
      <c r="R74" s="120" t="b">
        <f>IF(QZ_Substance="","",$L74&gt;0)</f>
        <v>1</v>
      </c>
      <c r="S74" s="120" t="str">
        <f>IF(QZ_Substance="","",IF(QZ_BelowFP,"No zone normally needed",CHOOSE($P74*4+$Q74*2+$R74+1,"Non-hazardous","Zone 2 only","Zone 1 only","Zone 1 and Zone 2","Zone 0 only","Zone 0 and Zone 2","Zone 0 and Zone 1","Zone 0, Zone 1 and Zone 2")))</f>
        <v>Zone 0 and Zone 2</v>
      </c>
      <c r="T74" s="120" t="str">
        <f>IF(QZ_Substance="","",IF($P74,"Ga",IF(AND($J74=-1,$G74&gt;=0),"Not needed (NE)","–")))</f>
        <v>Ga</v>
      </c>
      <c r="U74" s="120" t="str">
        <f>IF(QZ_Substance="","",IF($Q74,"Gb",IF(AND($K74=-1,$H74&gt;=0),"Not needed (NE)","–")))</f>
        <v>–</v>
      </c>
      <c r="V74" s="120" t="str">
        <f>IF(QZ_Substance="","",IF($R74,"Gc",IF(AND($L74=-1,$I74&gt;=0),"Not needed (NE)","–")))</f>
        <v>Gc</v>
      </c>
      <c r="W74" s="122">
        <f>IF(QZ_Substance="","",MAX($J74*($J74&lt;9999),$K74*($K74&lt;9999),$L74*($L74&lt;9999),0))</f>
        <v>2.6540040603836981</v>
      </c>
      <c r="X74" s="122">
        <f>IF(QZ_Substance="","",MAX(N(QZ_RoomR),$W74*1.2,0.5))</f>
        <v>3.2573500793527996</v>
      </c>
      <c r="Y74" s="122">
        <f>IF(QZ_Substance="","",IF($J74&gt;=9999,$X74,IF($J74&gt;0,$J74,IF(AND($J74=0,$C74),MIN(0.3,MAX(0.05,0.12*$W74)),0))))</f>
        <v>0.3</v>
      </c>
      <c r="Z74" s="122">
        <f>IF(QZ_Substance="","",IF($K74&gt;=9999,$X74,IF($K74&gt;0,$K74,0)))</f>
        <v>0</v>
      </c>
      <c r="AA74" s="122">
        <f>IF(QZ_Substance="","",IF($L74&gt;=9999,$X74,IF($L74&gt;0,$L74,0)))</f>
        <v>2.6540040603836981</v>
      </c>
      <c r="AB74" s="120" t="str">
        <f>IF(QZ_Substance="","",IF($P74,"Ga",IF($Q74,"Gb",IF($R74,"Gc","None"))))</f>
        <v>Ga</v>
      </c>
      <c r="AC74" s="120" t="b">
        <f>IF(QZ_Substance="","",COUNTIF($Z$55:$Z$57,TRUE)&gt;0)</f>
        <v>0</v>
      </c>
      <c r="AD74" s="120" t="b">
        <f>IF(QZ_Substance="","",OR(COUNTIF($N$55:$N$57,TRUE)&gt;0,COUNTIF($W$55:$W$57,TRUE)&gt;0))</f>
        <v>0</v>
      </c>
    </row>
    <row r="75" spans="2:32" x14ac:dyDescent="0.35">
      <c r="B75" s="119" t="str">
        <f>Tables!$A$44</f>
        <v>Decanting / filling / sampling</v>
      </c>
      <c r="C75" s="120" t="b">
        <f>IF(QZ_Substance="","",QZ_Interior)</f>
        <v>1</v>
      </c>
      <c r="D75" s="122">
        <f>IF(QZ_Substance="","",IF(COUNT($AA$58:$AA$60)=0,-1,MAX($AA$58:$AA$60)))</f>
        <v>0</v>
      </c>
      <c r="E75" s="122">
        <f>IF(QZ_Substance="","",IF(COUNT($AB$58:$AB$60)=0,-1,MAX($AB$58:$AB$60)))</f>
        <v>0.51863879982348959</v>
      </c>
      <c r="F75" s="122">
        <f>IF(QZ_Substance="","",IF(COUNT($AC$58:$AC$60)=0,-1,MAX($AC$58:$AC$60)))</f>
        <v>2.6540040603836981</v>
      </c>
      <c r="G75" s="122">
        <f>IF(QZ_Substance="","",IF(COUNT($AD$58:$AD$60)=0,-1,MAX($AD$58:$AD$60)))</f>
        <v>-1</v>
      </c>
      <c r="H75" s="122">
        <f>IF(QZ_Substance="","",IF(COUNT($AE$58:$AE$60)=0,-1,MAX($AE$58:$AE$60)))</f>
        <v>-1</v>
      </c>
      <c r="I75" s="122">
        <f>IF(QZ_Substance="","",IF(COUNT($AF$58:$AF$60)=0,-1,MAX($AF$58:$AF$60)))</f>
        <v>-1</v>
      </c>
      <c r="J75" s="122">
        <f>IF(QZ_Substance="","",IF($D75&gt;=0,$D75,IF($C75,0,-1)))</f>
        <v>0</v>
      </c>
      <c r="K75" s="122">
        <f>IF(QZ_Substance="","",IF($J75&gt;=9999,-2,IF($E75&lt;0,-1,IF($E75&gt;=9999,9999,IF(AND($J75&gt;0,$E75&lt;=$J75),-3,$E75)))))</f>
        <v>0.51863879982348959</v>
      </c>
      <c r="L75" s="122">
        <f>IF(QZ_Substance="","",IF(OR($J75&gt;=9999,$K75&gt;=9999),-2,IF($F75&lt;0,-1,IF($F75&gt;=9999,9999,IF(AND(MAX($J75,$K75)&gt;0,$F75&lt;=MAX($J75,$K75)),-3,$F75)))))</f>
        <v>2.6540040603836981</v>
      </c>
      <c r="M75" s="120" t="str">
        <f>IF(QZ_Substance="","",IF($J75=-1,IF($G75&gt;=0,"Negligible (NE), "&amp;TEXT($G75,"0.00")&amp;" m","None"),IF($J75&gt;=9999,"Whole room",IF($J75=0,"Inside the container",IF($C75,"Inside + "&amp;TEXT($J75,"0.00")&amp;" m",TEXT($J75,"0.00")&amp;" m")))))</f>
        <v>Inside the container</v>
      </c>
      <c r="N75" s="120" t="str">
        <f>IF(QZ_Substance="","",IF($K75=-2,"Within whole-room Zone 0",IF($K75=-3,"Within Zone 0",IF($K75=-1,IF($H75&gt;=0,"Negligible (NE), "&amp;TEXT($H75,"0.00")&amp;" m","None"),IF($K75&gt;=9999,"Whole room",TEXT($K75,"0.00")&amp;" m")))))</f>
        <v>0.52 m</v>
      </c>
      <c r="O75" s="120" t="str">
        <f>IF(QZ_Substance="","",IF($L75=-2,IF($J75&gt;=9999,"Within whole-room Zone 0","Within whole-room Zone 1"),IF($L75=-3,IF($K75&gt;0,"Within Zone 1","Within Zone 0"),IF($L75=-1,IF($I75&gt;=0,"Negligible (NE), "&amp;TEXT($I75,"0.00")&amp;" m","None"),IF($L75&gt;=9999,"Whole room",TEXT($L75,"0.00")&amp;" m")))))</f>
        <v>2.65 m</v>
      </c>
      <c r="P75" s="120" t="b">
        <f>IF(QZ_Substance="","",OR($J75&gt;0,AND($J75=0,$C75)))</f>
        <v>1</v>
      </c>
      <c r="Q75" s="120" t="b">
        <f>IF(QZ_Substance="","",$K75&gt;0)</f>
        <v>1</v>
      </c>
      <c r="R75" s="120" t="b">
        <f>IF(QZ_Substance="","",$L75&gt;0)</f>
        <v>1</v>
      </c>
      <c r="S75" s="120" t="str">
        <f>IF(QZ_Substance="","",IF(QZ_BelowFP,"No zone normally needed",CHOOSE($P75*4+$Q75*2+$R75+1,"Non-hazardous","Zone 2 only","Zone 1 only","Zone 1 and Zone 2","Zone 0 only","Zone 0 and Zone 2","Zone 0 and Zone 1","Zone 0, Zone 1 and Zone 2")))</f>
        <v>Zone 0, Zone 1 and Zone 2</v>
      </c>
      <c r="T75" s="120" t="str">
        <f>IF(QZ_Substance="","",IF($P75,"Ga",IF(AND($J75=-1,$G75&gt;=0),"Not needed (NE)","–")))</f>
        <v>Ga</v>
      </c>
      <c r="U75" s="120" t="str">
        <f>IF(QZ_Substance="","",IF($Q75,"Gb",IF(AND($K75=-1,$H75&gt;=0),"Not needed (NE)","–")))</f>
        <v>Gb</v>
      </c>
      <c r="V75" s="120" t="str">
        <f>IF(QZ_Substance="","",IF($R75,"Gc",IF(AND($L75=-1,$I75&gt;=0),"Not needed (NE)","–")))</f>
        <v>Gc</v>
      </c>
      <c r="W75" s="122">
        <f>IF(QZ_Substance="","",MAX($J75*($J75&lt;9999),$K75*($K75&lt;9999),$L75*($L75&lt;9999),0))</f>
        <v>2.6540040603836981</v>
      </c>
      <c r="X75" s="122">
        <f>IF(QZ_Substance="","",MAX(N(QZ_RoomR),$W75*1.2,0.5))</f>
        <v>3.2573500793527996</v>
      </c>
      <c r="Y75" s="122">
        <f>IF(QZ_Substance="","",IF($J75&gt;=9999,$X75,IF($J75&gt;0,$J75,IF(AND($J75=0,$C75),MIN(0.3,MAX(0.05,0.12*$W75)),0))))</f>
        <v>0.3</v>
      </c>
      <c r="Z75" s="122">
        <f>IF(QZ_Substance="","",IF($K75&gt;=9999,$X75,IF($K75&gt;0,$K75,0)))</f>
        <v>0.51863879982348959</v>
      </c>
      <c r="AA75" s="122">
        <f>IF(QZ_Substance="","",IF($L75&gt;=9999,$X75,IF($L75&gt;0,$L75,0)))</f>
        <v>2.6540040603836981</v>
      </c>
      <c r="AB75" s="120" t="str">
        <f>IF(QZ_Substance="","",IF($P75,"Ga",IF($Q75,"Gb",IF($R75,"Gc","None"))))</f>
        <v>Ga</v>
      </c>
      <c r="AC75" s="120" t="b">
        <f>IF(QZ_Substance="","",COUNTIF($Z$58:$Z$60,TRUE)&gt;0)</f>
        <v>0</v>
      </c>
      <c r="AD75" s="120" t="b">
        <f>IF(QZ_Substance="","",OR(COUNTIF($N$58:$N$60,TRUE)&gt;0,COUNTIF($W$58:$W$60,TRUE)&gt;0))</f>
        <v>1</v>
      </c>
    </row>
    <row r="76" spans="2:32" x14ac:dyDescent="0.35">
      <c r="B76" s="119" t="str">
        <f>Tables!$A$45</f>
        <v>Open vessel / continuous emission</v>
      </c>
      <c r="C76" s="120" t="b">
        <f>IF(QZ_Substance="","",QZ_Interior)</f>
        <v>1</v>
      </c>
      <c r="D76" s="122">
        <f>IF(QZ_Substance="","",IF(COUNT($AA$61:$AA$63)=0,-1,MAX($AA$61:$AA$63)))</f>
        <v>0.90765662112768231</v>
      </c>
      <c r="E76" s="122">
        <f>IF(QZ_Substance="","",IF(COUNT($AB$61:$AB$63)=0,-1,MAX($AB$61:$AB$63)))</f>
        <v>0.54349082116061653</v>
      </c>
      <c r="F76" s="122">
        <f>IF(QZ_Substance="","",IF(COUNT($AC$61:$AC$63)=0,-1,MAX($AC$61:$AC$63)))</f>
        <v>2.6540040603836981</v>
      </c>
      <c r="G76" s="122">
        <f>IF(QZ_Substance="","",IF(COUNT($AD$61:$AD$63)=0,-1,MAX($AD$61:$AD$63)))</f>
        <v>-1</v>
      </c>
      <c r="H76" s="122">
        <f>IF(QZ_Substance="","",IF(COUNT($AE$61:$AE$63)=0,-1,MAX($AE$61:$AE$63)))</f>
        <v>-1</v>
      </c>
      <c r="I76" s="122">
        <f>IF(QZ_Substance="","",IF(COUNT($AF$61:$AF$63)=0,-1,MAX($AF$61:$AF$63)))</f>
        <v>-1</v>
      </c>
      <c r="J76" s="122">
        <f>IF(QZ_Substance="","",IF($D76&gt;=0,$D76,IF($C76,0,-1)))</f>
        <v>0.90765662112768231</v>
      </c>
      <c r="K76" s="122">
        <f>IF(QZ_Substance="","",IF($J76&gt;=9999,-2,IF($E76&lt;0,-1,IF($E76&gt;=9999,9999,IF(AND($J76&gt;0,$E76&lt;=$J76),-3,$E76)))))</f>
        <v>-3</v>
      </c>
      <c r="L76" s="122">
        <f>IF(QZ_Substance="","",IF(OR($J76&gt;=9999,$K76&gt;=9999),-2,IF($F76&lt;0,-1,IF($F76&gt;=9999,9999,IF(AND(MAX($J76,$K76)&gt;0,$F76&lt;=MAX($J76,$K76)),-3,$F76)))))</f>
        <v>2.6540040603836981</v>
      </c>
      <c r="M76" s="120" t="str">
        <f>IF(QZ_Substance="","",IF($J76=-1,IF($G76&gt;=0,"Negligible (NE), "&amp;TEXT($G76,"0.00")&amp;" m","None"),IF($J76&gt;=9999,"Whole room",IF($J76=0,"Inside the vessel",IF($C76,"Inside + "&amp;TEXT($J76,"0.00")&amp;" m",TEXT($J76,"0.00")&amp;" m")))))</f>
        <v>Inside + 0.91 m</v>
      </c>
      <c r="N76" s="120" t="str">
        <f>IF(QZ_Substance="","",IF($K76=-2,"Within whole-room Zone 0",IF($K76=-3,"Within Zone 0",IF($K76=-1,IF($H76&gt;=0,"Negligible (NE), "&amp;TEXT($H76,"0.00")&amp;" m","None"),IF($K76&gt;=9999,"Whole room",TEXT($K76,"0.00")&amp;" m")))))</f>
        <v>Within Zone 0</v>
      </c>
      <c r="O76" s="120" t="str">
        <f>IF(QZ_Substance="","",IF($L76=-2,IF($J76&gt;=9999,"Within whole-room Zone 0","Within whole-room Zone 1"),IF($L76=-3,IF($K76&gt;0,"Within Zone 1","Within Zone 0"),IF($L76=-1,IF($I76&gt;=0,"Negligible (NE), "&amp;TEXT($I76,"0.00")&amp;" m","None"),IF($L76&gt;=9999,"Whole room",TEXT($L76,"0.00")&amp;" m")))))</f>
        <v>2.65 m</v>
      </c>
      <c r="P76" s="120" t="b">
        <f>IF(QZ_Substance="","",OR($J76&gt;0,AND($J76=0,$C76)))</f>
        <v>1</v>
      </c>
      <c r="Q76" s="120" t="b">
        <f>IF(QZ_Substance="","",$K76&gt;0)</f>
        <v>0</v>
      </c>
      <c r="R76" s="120" t="b">
        <f>IF(QZ_Substance="","",$L76&gt;0)</f>
        <v>1</v>
      </c>
      <c r="S76" s="120" t="str">
        <f>IF(QZ_Substance="","",IF(QZ_BelowFP,"No zone normally needed",CHOOSE($P76*4+$Q76*2+$R76+1,"Non-hazardous","Zone 2 only","Zone 1 only","Zone 1 and Zone 2","Zone 0 only","Zone 0 and Zone 2","Zone 0 and Zone 1","Zone 0, Zone 1 and Zone 2")))</f>
        <v>Zone 0 and Zone 2</v>
      </c>
      <c r="T76" s="120" t="str">
        <f>IF(QZ_Substance="","",IF($P76,"Ga",IF(AND($J76=-1,$G76&gt;=0),"Not needed (NE)","–")))</f>
        <v>Ga</v>
      </c>
      <c r="U76" s="120" t="str">
        <f>IF(QZ_Substance="","",IF($Q76,"Gb",IF(AND($K76=-1,$H76&gt;=0),"Not needed (NE)","–")))</f>
        <v>–</v>
      </c>
      <c r="V76" s="120" t="str">
        <f>IF(QZ_Substance="","",IF($R76,"Gc",IF(AND($L76=-1,$I76&gt;=0),"Not needed (NE)","–")))</f>
        <v>Gc</v>
      </c>
      <c r="W76" s="122">
        <f>IF(QZ_Substance="","",MAX($J76*($J76&lt;9999),$K76*($K76&lt;9999),$L76*($L76&lt;9999),0))</f>
        <v>2.6540040603836981</v>
      </c>
      <c r="X76" s="122">
        <f>IF(QZ_Substance="","",MAX(N(QZ_RoomR),$W76*1.2,0.5))</f>
        <v>3.2573500793527996</v>
      </c>
      <c r="Y76" s="122">
        <f>IF(QZ_Substance="","",IF($J76&gt;=9999,$X76,IF($J76&gt;0,$J76,IF(AND($J76=0,$C76),MIN(0.3,MAX(0.05,0.12*$W76)),0))))</f>
        <v>0.90765662112768231</v>
      </c>
      <c r="Z76" s="122">
        <f>IF(QZ_Substance="","",IF($K76&gt;=9999,$X76,IF($K76&gt;0,$K76,0)))</f>
        <v>0</v>
      </c>
      <c r="AA76" s="122">
        <f>IF(QZ_Substance="","",IF($L76&gt;=9999,$X76,IF($L76&gt;0,$L76,0)))</f>
        <v>2.6540040603836981</v>
      </c>
      <c r="AB76" s="120" t="str">
        <f>IF(QZ_Substance="","",IF($P76,"Ga",IF($Q76,"Gb",IF($R76,"Gc","None"))))</f>
        <v>Ga</v>
      </c>
      <c r="AC76" s="120" t="b">
        <f>IF(QZ_Substance="","",COUNTIF($Z$61:$Z$63,TRUE)&gt;0)</f>
        <v>0</v>
      </c>
      <c r="AD76" s="120" t="b">
        <f>IF(QZ_Substance="","",OR(COUNTIF($N$61:$N$63,TRUE)&gt;0,COUNTIF($W$61:$W$63,TRUE)&gt;0))</f>
        <v>1</v>
      </c>
    </row>
    <row r="77" spans="2:32" x14ac:dyDescent="0.35">
      <c r="B77" s="119" t="str">
        <f>Tables!$A$46</f>
        <v>Open tin or tray</v>
      </c>
      <c r="C77" s="120" t="b">
        <f>IF(QZ_Substance="","",QZ_Interior)</f>
        <v>1</v>
      </c>
      <c r="D77" s="122">
        <f>IF(QZ_Substance="","",IF(COUNT($AA$64:$AA$66)=0,-1,MAX($AA$64:$AA$66)))</f>
        <v>0.90765662112768231</v>
      </c>
      <c r="E77" s="122">
        <f>IF(QZ_Substance="","",IF(COUNT($AB$64:$AB$66)=0,-1,MAX($AB$64:$AB$66)))</f>
        <v>-1</v>
      </c>
      <c r="F77" s="122">
        <f>IF(QZ_Substance="","",IF(COUNT($AC$64:$AC$66)=0,-1,MAX($AC$64:$AC$66)))</f>
        <v>2.6540040603836981</v>
      </c>
      <c r="G77" s="122">
        <f>IF(QZ_Substance="","",IF(COUNT($AD$64:$AD$66)=0,-1,MAX($AD$64:$AD$66)))</f>
        <v>-1</v>
      </c>
      <c r="H77" s="122">
        <f>IF(QZ_Substance="","",IF(COUNT($AE$64:$AE$66)=0,-1,MAX($AE$64:$AE$66)))</f>
        <v>-1</v>
      </c>
      <c r="I77" s="122">
        <f>IF(QZ_Substance="","",IF(COUNT($AF$64:$AF$66)=0,-1,MAX($AF$64:$AF$66)))</f>
        <v>-1</v>
      </c>
      <c r="J77" s="122">
        <f>IF(QZ_Substance="","",IF($D77&gt;=0,$D77,IF($C77,0,-1)))</f>
        <v>0.90765662112768231</v>
      </c>
      <c r="K77" s="122">
        <f>IF(QZ_Substance="","",IF($J77&gt;=9999,-2,IF($E77&lt;0,-1,IF($E77&gt;=9999,9999,IF(AND($J77&gt;0,$E77&lt;=$J77),-3,$E77)))))</f>
        <v>-1</v>
      </c>
      <c r="L77" s="122">
        <f>IF(QZ_Substance="","",IF(OR($J77&gt;=9999,$K77&gt;=9999),-2,IF($F77&lt;0,-1,IF($F77&gt;=9999,9999,IF(AND(MAX($J77,$K77)&gt;0,$F77&lt;=MAX($J77,$K77)),-3,$F77)))))</f>
        <v>2.6540040603836981</v>
      </c>
      <c r="M77" s="120" t="str">
        <f>IF(QZ_Substance="","",IF($J77=-1,IF($G77&gt;=0,"Negligible (NE), "&amp;TEXT($G77,"0.00")&amp;" m","None"),IF($J77&gt;=9999,"Whole room",IF($J77=0,"Inside the tin or tray",IF($C77,"Inside + "&amp;TEXT($J77,"0.00")&amp;" m",TEXT($J77,"0.00")&amp;" m")))))</f>
        <v>Inside + 0.91 m</v>
      </c>
      <c r="N77" s="120" t="str">
        <f>IF(QZ_Substance="","",IF($K77=-2,"Within whole-room Zone 0",IF($K77=-3,"Within Zone 0",IF($K77=-1,IF($H77&gt;=0,"Negligible (NE), "&amp;TEXT($H77,"0.00")&amp;" m","None"),IF($K77&gt;=9999,"Whole room",TEXT($K77,"0.00")&amp;" m")))))</f>
        <v>None</v>
      </c>
      <c r="O77" s="120" t="str">
        <f>IF(QZ_Substance="","",IF($L77=-2,IF($J77&gt;=9999,"Within whole-room Zone 0","Within whole-room Zone 1"),IF($L77=-3,IF($K77&gt;0,"Within Zone 1","Within Zone 0"),IF($L77=-1,IF($I77&gt;=0,"Negligible (NE), "&amp;TEXT($I77,"0.00")&amp;" m","None"),IF($L77&gt;=9999,"Whole room",TEXT($L77,"0.00")&amp;" m")))))</f>
        <v>2.65 m</v>
      </c>
      <c r="P77" s="120" t="b">
        <f>IF(QZ_Substance="","",OR($J77&gt;0,AND($J77=0,$C77)))</f>
        <v>1</v>
      </c>
      <c r="Q77" s="120" t="b">
        <f>IF(QZ_Substance="","",$K77&gt;0)</f>
        <v>0</v>
      </c>
      <c r="R77" s="120" t="b">
        <f>IF(QZ_Substance="","",$L77&gt;0)</f>
        <v>1</v>
      </c>
      <c r="S77" s="120" t="str">
        <f>IF(QZ_Substance="","",IF(QZ_BelowFP,"No zone normally needed",CHOOSE($P77*4+$Q77*2+$R77+1,"Non-hazardous","Zone 2 only","Zone 1 only","Zone 1 and Zone 2","Zone 0 only","Zone 0 and Zone 2","Zone 0 and Zone 1","Zone 0, Zone 1 and Zone 2")))</f>
        <v>Zone 0 and Zone 2</v>
      </c>
      <c r="T77" s="120" t="str">
        <f>IF(QZ_Substance="","",IF($P77,"Ga",IF(AND($J77=-1,$G77&gt;=0),"Not needed (NE)","–")))</f>
        <v>Ga</v>
      </c>
      <c r="U77" s="120" t="str">
        <f>IF(QZ_Substance="","",IF($Q77,"Gb",IF(AND($K77=-1,$H77&gt;=0),"Not needed (NE)","–")))</f>
        <v>–</v>
      </c>
      <c r="V77" s="120" t="str">
        <f>IF(QZ_Substance="","",IF($R77,"Gc",IF(AND($L77=-1,$I77&gt;=0),"Not needed (NE)","–")))</f>
        <v>Gc</v>
      </c>
      <c r="W77" s="122">
        <f>IF(QZ_Substance="","",MAX($J77*($J77&lt;9999),$K77*($K77&lt;9999),$L77*($L77&lt;9999),0))</f>
        <v>2.6540040603836981</v>
      </c>
      <c r="X77" s="122">
        <f>IF(QZ_Substance="","",MAX(N(QZ_RoomR),$W77*1.2,0.5))</f>
        <v>3.2573500793527996</v>
      </c>
      <c r="Y77" s="122">
        <f>IF(QZ_Substance="","",IF($J77&gt;=9999,$X77,IF($J77&gt;0,$J77,IF(AND($J77=0,$C77),MIN(0.3,MAX(0.05,0.12*$W77)),0))))</f>
        <v>0.90765662112768231</v>
      </c>
      <c r="Z77" s="122">
        <f>IF(QZ_Substance="","",IF($K77&gt;=9999,$X77,IF($K77&gt;0,$K77,0)))</f>
        <v>0</v>
      </c>
      <c r="AA77" s="122">
        <f>IF(QZ_Substance="","",IF($L77&gt;=9999,$X77,IF($L77&gt;0,$L77,0)))</f>
        <v>2.6540040603836981</v>
      </c>
      <c r="AB77" s="120" t="str">
        <f>IF(QZ_Substance="","",IF($P77,"Ga",IF($Q77,"Gb",IF($R77,"Gc","None"))))</f>
        <v>Ga</v>
      </c>
      <c r="AC77" s="120" t="b">
        <f>IF(QZ_Substance="","",COUNTIF($Z$64:$Z$66,TRUE)&gt;0)</f>
        <v>0</v>
      </c>
      <c r="AD77" s="120" t="b">
        <f>IF(QZ_Substance="","",OR(COUNTIF($N$64:$N$66,TRUE)&gt;0,COUNTIF($W$64:$W$66,TRUE)&gt;0))</f>
        <v>0</v>
      </c>
    </row>
    <row r="78" spans="2:32" x14ac:dyDescent="0.35">
      <c r="B78" s="119" t="str">
        <f>Tables!$A$47</f>
        <v>Wiping with solvent rags</v>
      </c>
      <c r="C78" s="120" t="b">
        <f>IF(QZ_Substance="","",QZ_Interior)</f>
        <v>1</v>
      </c>
      <c r="D78" s="122">
        <f>IF(QZ_Substance="","",IF(COUNT($AA$67:$AA$69)=0,-1,MAX($AA$67:$AA$69)))</f>
        <v>0</v>
      </c>
      <c r="E78" s="122">
        <f>IF(QZ_Substance="","",IF(COUNT($AB$67:$AB$69)=0,-1,MAX($AB$67:$AB$69)))</f>
        <v>1.1435756830352226</v>
      </c>
      <c r="F78" s="122">
        <f>IF(QZ_Substance="","",IF(COUNT($AC$67:$AC$69)=0,-1,MAX($AC$67:$AC$69)))</f>
        <v>2.6540040603836981</v>
      </c>
      <c r="G78" s="122">
        <f>IF(QZ_Substance="","",IF(COUNT($AD$67:$AD$69)=0,-1,MAX($AD$67:$AD$69)))</f>
        <v>-1</v>
      </c>
      <c r="H78" s="122">
        <f>IF(QZ_Substance="","",IF(COUNT($AE$67:$AE$69)=0,-1,MAX($AE$67:$AE$69)))</f>
        <v>-1</v>
      </c>
      <c r="I78" s="122">
        <f>IF(QZ_Substance="","",IF(COUNT($AF$67:$AF$69)=0,-1,MAX($AF$67:$AF$69)))</f>
        <v>-1</v>
      </c>
      <c r="J78" s="122">
        <f>IF(QZ_Substance="","",IF($D78&gt;=0,$D78,IF($C78,0,-1)))</f>
        <v>0</v>
      </c>
      <c r="K78" s="122">
        <f>IF(QZ_Substance="","",IF($J78&gt;=9999,-2,IF($E78&lt;0,-1,IF($E78&gt;=9999,9999,IF(AND($J78&gt;0,$E78&lt;=$J78),-3,$E78)))))</f>
        <v>1.1435756830352226</v>
      </c>
      <c r="L78" s="122">
        <f>IF(QZ_Substance="","",IF(OR($J78&gt;=9999,$K78&gt;=9999),-2,IF($F78&lt;0,-1,IF($F78&gt;=9999,9999,IF(AND(MAX($J78,$K78)&gt;0,$F78&lt;=MAX($J78,$K78)),-3,$F78)))))</f>
        <v>2.6540040603836981</v>
      </c>
      <c r="M78" s="120" t="str">
        <f>IF(QZ_Substance="","",IF($J78=-1,IF($G78&gt;=0,"Negligible (NE), "&amp;TEXT($G78,"0.00")&amp;" m","None"),IF($J78&gt;=9999,"Whole room",IF($J78=0,"Inside the solvent container",IF($C78,"Inside + "&amp;TEXT($J78,"0.00")&amp;" m",TEXT($J78,"0.00")&amp;" m")))))</f>
        <v>Inside the solvent container</v>
      </c>
      <c r="N78" s="120" t="str">
        <f>IF(QZ_Substance="","",IF($K78=-2,"Within whole-room Zone 0",IF($K78=-3,"Within Zone 0",IF($K78=-1,IF($H78&gt;=0,"Negligible (NE), "&amp;TEXT($H78,"0.00")&amp;" m","None"),IF($K78&gt;=9999,"Whole room",TEXT($K78,"0.00")&amp;" m")))))</f>
        <v>1.14 m</v>
      </c>
      <c r="O78" s="120" t="str">
        <f>IF(QZ_Substance="","",IF($L78=-2,IF($J78&gt;=9999,"Within whole-room Zone 0","Within whole-room Zone 1"),IF($L78=-3,IF($K78&gt;0,"Within Zone 1","Within Zone 0"),IF($L78=-1,IF($I78&gt;=0,"Negligible (NE), "&amp;TEXT($I78,"0.00")&amp;" m","None"),IF($L78&gt;=9999,"Whole room",TEXT($L78,"0.00")&amp;" m")))))</f>
        <v>2.65 m</v>
      </c>
      <c r="P78" s="120" t="b">
        <f>IF(QZ_Substance="","",OR($J78&gt;0,AND($J78=0,$C78)))</f>
        <v>1</v>
      </c>
      <c r="Q78" s="120" t="b">
        <f>IF(QZ_Substance="","",$K78&gt;0)</f>
        <v>1</v>
      </c>
      <c r="R78" s="120" t="b">
        <f>IF(QZ_Substance="","",$L78&gt;0)</f>
        <v>1</v>
      </c>
      <c r="S78" s="120" t="str">
        <f>IF(QZ_Substance="","",IF(QZ_BelowFP,"No zone normally needed",CHOOSE($P78*4+$Q78*2+$R78+1,"Non-hazardous","Zone 2 only","Zone 1 only","Zone 1 and Zone 2","Zone 0 only","Zone 0 and Zone 2","Zone 0 and Zone 1","Zone 0, Zone 1 and Zone 2")))</f>
        <v>Zone 0, Zone 1 and Zone 2</v>
      </c>
      <c r="T78" s="120" t="str">
        <f>IF(QZ_Substance="","",IF($P78,"Ga",IF(AND($J78=-1,$G78&gt;=0),"Not needed (NE)","–")))</f>
        <v>Ga</v>
      </c>
      <c r="U78" s="120" t="str">
        <f>IF(QZ_Substance="","",IF($Q78,"Gb",IF(AND($K78=-1,$H78&gt;=0),"Not needed (NE)","–")))</f>
        <v>Gb</v>
      </c>
      <c r="V78" s="120" t="str">
        <f>IF(QZ_Substance="","",IF($R78,"Gc",IF(AND($L78=-1,$I78&gt;=0),"Not needed (NE)","–")))</f>
        <v>Gc</v>
      </c>
      <c r="W78" s="122">
        <f>IF(QZ_Substance="","",MAX($J78*($J78&lt;9999),$K78*($K78&lt;9999),$L78*($L78&lt;9999),0))</f>
        <v>2.6540040603836981</v>
      </c>
      <c r="X78" s="122">
        <f>IF(QZ_Substance="","",MAX(N(QZ_RoomR),$W78*1.2,0.5))</f>
        <v>3.2573500793527996</v>
      </c>
      <c r="Y78" s="122">
        <f>IF(QZ_Substance="","",IF($J78&gt;=9999,$X78,IF($J78&gt;0,$J78,IF(AND($J78=0,$C78),MIN(0.3,MAX(0.05,0.12*$W78)),0))))</f>
        <v>0.3</v>
      </c>
      <c r="Z78" s="122">
        <f>IF(QZ_Substance="","",IF($K78&gt;=9999,$X78,IF($K78&gt;0,$K78,0)))</f>
        <v>1.1435756830352226</v>
      </c>
      <c r="AA78" s="122">
        <f>IF(QZ_Substance="","",IF($L78&gt;=9999,$X78,IF($L78&gt;0,$L78,0)))</f>
        <v>2.6540040603836981</v>
      </c>
      <c r="AB78" s="120" t="str">
        <f>IF(QZ_Substance="","",IF($P78,"Ga",IF($Q78,"Gb",IF($R78,"Gc","None"))))</f>
        <v>Ga</v>
      </c>
      <c r="AC78" s="120" t="b">
        <f>IF(QZ_Substance="","",COUNTIF($Z$67:$Z$69,TRUE)&gt;0)</f>
        <v>0</v>
      </c>
      <c r="AD78" s="120" t="b">
        <f>IF(QZ_Substance="","",OR(COUNTIF($N$67:$N$69,TRUE)&gt;0,COUNTIF($W$67:$W$69,TRUE)&gt;0))</f>
        <v>0</v>
      </c>
    </row>
    <row r="80" spans="2:32" ht="24" customHeight="1" x14ac:dyDescent="0.35">
      <c r="B80" s="101" t="s">
        <v>463</v>
      </c>
      <c r="C80" s="102"/>
      <c r="D80" s="102"/>
    </row>
    <row r="81" spans="2:4" x14ac:dyDescent="0.35">
      <c r="B81" s="103" t="s">
        <v>464</v>
      </c>
      <c r="C81" s="132">
        <f>IFERROR(MATCH(QZ_Activity,Tables!$A$43:$A$47,0),"")</f>
        <v>2</v>
      </c>
      <c r="D81" s="105" t="s">
        <v>465</v>
      </c>
    </row>
    <row r="82" spans="2:4" x14ac:dyDescent="0.35">
      <c r="B82" s="103" t="s">
        <v>453</v>
      </c>
      <c r="C82" s="132" t="str">
        <f>IF(OR(QZ_Substance="",QZ_Sel=""),"",INDEX($S$74:$S$78,QZ_Sel))</f>
        <v>Zone 0, Zone 1 and Zone 2</v>
      </c>
      <c r="D82" s="105"/>
    </row>
    <row r="83" spans="2:4" x14ac:dyDescent="0.35">
      <c r="B83" s="103" t="s">
        <v>466</v>
      </c>
      <c r="C83" s="133">
        <f>IF(OR(QZ_Substance="",QZ_Sel=""),"",INDEX($J$74:$J$78,QZ_Sel))</f>
        <v>0</v>
      </c>
      <c r="D83" s="105" t="s">
        <v>467</v>
      </c>
    </row>
    <row r="84" spans="2:4" x14ac:dyDescent="0.35">
      <c r="B84" s="103" t="s">
        <v>468</v>
      </c>
      <c r="C84" s="133">
        <f>IF(OR(QZ_Substance="",QZ_Sel=""),"",INDEX($K$74:$K$78,QZ_Sel))</f>
        <v>0.51863879982348959</v>
      </c>
      <c r="D84" s="105"/>
    </row>
    <row r="85" spans="2:4" x14ac:dyDescent="0.35">
      <c r="B85" s="103" t="s">
        <v>469</v>
      </c>
      <c r="C85" s="133">
        <f>IF(OR(QZ_Substance="",QZ_Sel=""),"",INDEX($L$74:$L$78,QZ_Sel))</f>
        <v>2.6540040603836981</v>
      </c>
      <c r="D85" s="105"/>
    </row>
    <row r="86" spans="2:4" x14ac:dyDescent="0.35">
      <c r="B86" s="103" t="s">
        <v>438</v>
      </c>
      <c r="C86" s="133">
        <f>IF(OR(QZ_Substance="",QZ_Sel=""),"",INDEX($D$74:$D$78,QZ_Sel))</f>
        <v>0</v>
      </c>
      <c r="D86" s="105"/>
    </row>
    <row r="87" spans="2:4" x14ac:dyDescent="0.35">
      <c r="B87" s="103" t="s">
        <v>439</v>
      </c>
      <c r="C87" s="133">
        <f>IF(OR(QZ_Substance="",QZ_Sel=""),"",INDEX($E$74:$E$78,QZ_Sel))</f>
        <v>0.51863879982348959</v>
      </c>
      <c r="D87" s="105"/>
    </row>
    <row r="88" spans="2:4" x14ac:dyDescent="0.35">
      <c r="B88" s="103" t="s">
        <v>440</v>
      </c>
      <c r="C88" s="133">
        <f>IF(OR(QZ_Substance="",QZ_Sel=""),"",INDEX($F$74:$F$78,QZ_Sel))</f>
        <v>2.6540040603836981</v>
      </c>
      <c r="D88" s="105"/>
    </row>
    <row r="89" spans="2:4" x14ac:dyDescent="0.35">
      <c r="B89" s="103" t="s">
        <v>470</v>
      </c>
      <c r="C89" s="133">
        <f>IF(OR(QZ_Substance="",QZ_Sel=""),"",INDEX($G$74:$G$78,QZ_Sel))</f>
        <v>-1</v>
      </c>
      <c r="D89" s="105"/>
    </row>
    <row r="90" spans="2:4" x14ac:dyDescent="0.35">
      <c r="B90" s="103" t="s">
        <v>471</v>
      </c>
      <c r="C90" s="133">
        <f>IF(OR(QZ_Substance="",QZ_Sel=""),"",INDEX($H$74:$H$78,QZ_Sel))</f>
        <v>-1</v>
      </c>
      <c r="D90" s="105"/>
    </row>
    <row r="91" spans="2:4" x14ac:dyDescent="0.35">
      <c r="B91" s="103" t="s">
        <v>472</v>
      </c>
      <c r="C91" s="133">
        <f>IF(OR(QZ_Substance="",QZ_Sel=""),"",INDEX($I$74:$I$78,QZ_Sel))</f>
        <v>-1</v>
      </c>
      <c r="D91" s="105"/>
    </row>
    <row r="92" spans="2:4" x14ac:dyDescent="0.35">
      <c r="B92" s="103" t="s">
        <v>447</v>
      </c>
      <c r="C92" s="132" t="str">
        <f>IF(OR(QZ_Substance="",QZ_Sel=""),"",INDEX($M$74:$M$78,QZ_Sel))</f>
        <v>Inside the container</v>
      </c>
      <c r="D92" s="105"/>
    </row>
    <row r="93" spans="2:4" x14ac:dyDescent="0.35">
      <c r="B93" s="103" t="s">
        <v>448</v>
      </c>
      <c r="C93" s="132" t="str">
        <f>IF(OR(QZ_Substance="",QZ_Sel=""),"",INDEX($N$74:$N$78,QZ_Sel))</f>
        <v>0.52 m</v>
      </c>
      <c r="D93" s="105"/>
    </row>
    <row r="94" spans="2:4" x14ac:dyDescent="0.35">
      <c r="B94" s="103" t="s">
        <v>449</v>
      </c>
      <c r="C94" s="132" t="str">
        <f>IF(OR(QZ_Substance="",QZ_Sel=""),"",INDEX($O$74:$O$78,QZ_Sel))</f>
        <v>2.65 m</v>
      </c>
      <c r="D94" s="105"/>
    </row>
    <row r="95" spans="2:4" x14ac:dyDescent="0.35">
      <c r="B95" s="103" t="s">
        <v>473</v>
      </c>
      <c r="C95" s="132" t="b">
        <f>IF(OR(QZ_Substance="",QZ_Sel=""),"",INDEX($P$74:$P$78,QZ_Sel))</f>
        <v>1</v>
      </c>
      <c r="D95" s="105"/>
    </row>
    <row r="96" spans="2:4" x14ac:dyDescent="0.35">
      <c r="B96" s="103" t="s">
        <v>474</v>
      </c>
      <c r="C96" s="132" t="b">
        <f>IF(OR(QZ_Substance="",QZ_Sel=""),"",INDEX($Q$74:$Q$78,QZ_Sel))</f>
        <v>1</v>
      </c>
      <c r="D96" s="105"/>
    </row>
    <row r="97" spans="2:4" x14ac:dyDescent="0.35">
      <c r="B97" s="103" t="s">
        <v>475</v>
      </c>
      <c r="C97" s="132" t="b">
        <f>IF(OR(QZ_Substance="",QZ_Sel=""),"",INDEX($R$74:$R$78,QZ_Sel))</f>
        <v>1</v>
      </c>
      <c r="D97" s="105"/>
    </row>
    <row r="98" spans="2:4" x14ac:dyDescent="0.35">
      <c r="B98" s="103" t="s">
        <v>476</v>
      </c>
      <c r="C98" s="132" t="str">
        <f>IF(OR(QZ_Substance="",QZ_Sel=""),"",INDEX($T$74:$T$78,QZ_Sel))</f>
        <v>Ga</v>
      </c>
      <c r="D98" s="105"/>
    </row>
    <row r="99" spans="2:4" x14ac:dyDescent="0.35">
      <c r="B99" s="103" t="s">
        <v>477</v>
      </c>
      <c r="C99" s="132" t="str">
        <f>IF(OR(QZ_Substance="",QZ_Sel=""),"",INDEX($U$74:$U$78,QZ_Sel))</f>
        <v>Gb</v>
      </c>
      <c r="D99" s="105"/>
    </row>
    <row r="100" spans="2:4" x14ac:dyDescent="0.35">
      <c r="B100" s="103" t="s">
        <v>478</v>
      </c>
      <c r="C100" s="132" t="str">
        <f>IF(OR(QZ_Substance="",QZ_Sel=""),"",INDEX($V$74:$V$78,QZ_Sel))</f>
        <v>Gc</v>
      </c>
      <c r="D100" s="105"/>
    </row>
    <row r="101" spans="2:4" x14ac:dyDescent="0.35">
      <c r="B101" s="103" t="s">
        <v>479</v>
      </c>
      <c r="C101" s="133">
        <f>IF(OR(QZ_Substance="",QZ_Sel=""),"",INDEX($Y$74:$Y$78,QZ_Sel))</f>
        <v>0.3</v>
      </c>
      <c r="D101" s="105"/>
    </row>
    <row r="102" spans="2:4" x14ac:dyDescent="0.35">
      <c r="B102" s="103" t="s">
        <v>480</v>
      </c>
      <c r="C102" s="133">
        <f>IF(OR(QZ_Substance="",QZ_Sel=""),"",INDEX($Z$74:$Z$78,QZ_Sel))</f>
        <v>0.51863879982348959</v>
      </c>
      <c r="D102" s="105"/>
    </row>
    <row r="103" spans="2:4" x14ac:dyDescent="0.35">
      <c r="B103" s="103" t="s">
        <v>481</v>
      </c>
      <c r="C103" s="133">
        <f>IF(OR(QZ_Substance="",QZ_Sel=""),"",INDEX($AA$74:$AA$78,QZ_Sel))</f>
        <v>2.6540040603836981</v>
      </c>
      <c r="D103" s="105"/>
    </row>
    <row r="104" spans="2:4" x14ac:dyDescent="0.35">
      <c r="B104" s="103" t="s">
        <v>428</v>
      </c>
      <c r="C104" s="132" t="b">
        <f>IF(OR(QZ_Substance="",QZ_Sel=""),"",INDEX($AC$74:$AC$78,QZ_Sel))</f>
        <v>0</v>
      </c>
      <c r="D104" s="105"/>
    </row>
    <row r="105" spans="2:4" x14ac:dyDescent="0.35">
      <c r="B105" s="103" t="s">
        <v>417</v>
      </c>
      <c r="C105" s="132" t="b">
        <f>IF(OR(QZ_Substance="",QZ_Sel=""),"",INDEX($AD$74:$AD$78,QZ_Sel))</f>
        <v>1</v>
      </c>
      <c r="D105" s="105"/>
    </row>
    <row r="106" spans="2:4" x14ac:dyDescent="0.35">
      <c r="B106" s="103" t="s">
        <v>482</v>
      </c>
      <c r="C106" s="132">
        <f>IF(OR(QZ_Substance="",QZ_Sel=""),"",IF(AND(ISNUMBER(INDEX(QZ_SrcToZ0,(QZ_Sel-1)*3+1)),INDEX(QZ_SrcToZ0,(QZ_Sel-1)*3+1)=QZ_RawZ0),1,IFERROR(MATCH(QZ_RawZ0,INDEX(QZ_SrcToZ0,(QZ_Sel-1)*3+1):INDEX(QZ_SrcToZ0,(QZ_Sel-1)*3+3),0),"")))</f>
        <v>1</v>
      </c>
      <c r="D106" s="105" t="s">
        <v>483</v>
      </c>
    </row>
    <row r="107" spans="2:4" x14ac:dyDescent="0.35">
      <c r="B107" s="103" t="s">
        <v>484</v>
      </c>
      <c r="C107" s="132" t="b">
        <f>IF(OR(QZ_Substance="",QZ_Sel=""),"",IF(QZ_Gov0="",FALSE,INDEX(QZ_SrcSized,(QZ_Sel-1)*3+QZ_Gov0)))</f>
        <v>0</v>
      </c>
      <c r="D107" s="105"/>
    </row>
    <row r="108" spans="2:4" x14ac:dyDescent="0.35">
      <c r="B108" s="103" t="s">
        <v>485</v>
      </c>
      <c r="C108" s="132" t="b">
        <f>IF(OR(QZ_Substance="",QZ_Sel=""),"",IF(QZ_GovSized0,INDEX(QZ_SrcInner,(QZ_Sel-1)*3+QZ_Gov0)&lt;&gt;0,FALSE))</f>
        <v>0</v>
      </c>
      <c r="D108" s="105"/>
    </row>
    <row r="109" spans="2:4" x14ac:dyDescent="0.35">
      <c r="B109" s="103" t="s">
        <v>486</v>
      </c>
      <c r="C109" s="132" t="b">
        <f>IF(OR(QZ_Substance="",QZ_Sel=""),"",IF(QZ_GovSized0,IF(QZ_Outer0,INDEX(QZ_SrcCapOut,(QZ_Sel-1)*3+QZ_Gov0),INDEX(QZ_SrcCapIn,(QZ_Sel-1)*3+QZ_Gov0)),FALSE))</f>
        <v>0</v>
      </c>
      <c r="D109" s="105"/>
    </row>
    <row r="110" spans="2:4" x14ac:dyDescent="0.35">
      <c r="B110" s="103" t="s">
        <v>487</v>
      </c>
      <c r="C110" s="132" t="str">
        <f>IF(OR(QZ_Substance="",QZ_Sel=""),"",IF(QZ_R0=-2,"Covered by the whole-room zone.",IF(QZ_R0=-3,IFERROR(INDEX(QZ_SrcText,(QZ_Sel-1)*3+QZ_Gov0),INDEX(QZ_SrcText,(QZ_Sel-1)*3+1))&amp;". Stays inside Zone "&amp;"0"&amp;".",IF(QZ_R0=-1,IF(QZ_NE0&gt;=0,INDEX(QZ_SrcText,(QZ_Sel-1)*3+1)&amp;". Negligible extent: Vz is under 0.1 m³.",IF(QZ_IsGas,"A gas system holds no air, so there is no Zone 0 inside.",IF(QZ_BelowFP,"Below its flash point the vapour inside stays under the LFL.","No continuous source for this activity."))),IFERROR(INDEX(QZ_SrcText,(QZ_Sel-1)*3+QZ_Gov0),INDEX(QZ_SrcText,(QZ_Sel-1)*3+1))&amp;"."&amp;IF(QZ_R0=0,"",IF(QZ_Outer0," Sized for ventilation failure.",IF(AND(QZ_GovSized0,QZ_Gov0&lt;&gt;1)," Ventilation is too low to dilute it, so it counts as Zone 0.","")))&amp;IF(QZ_Capped0," Limited by the amount handled.","")))))</f>
        <v>Vapour space inside the receiving container.</v>
      </c>
      <c r="D110" s="105"/>
    </row>
    <row r="111" spans="2:4" x14ac:dyDescent="0.35">
      <c r="B111" s="103" t="s">
        <v>488</v>
      </c>
      <c r="C111" s="132">
        <f>IF(OR(QZ_Substance="",QZ_Sel=""),"",IF(AND(ISNUMBER(INDEX(QZ_SrcToZ1,(QZ_Sel-1)*3+2)),INDEX(QZ_SrcToZ1,(QZ_Sel-1)*3+2)=QZ_RawZ1),2,IFERROR(MATCH(QZ_RawZ1,INDEX(QZ_SrcToZ1,(QZ_Sel-1)*3+1):INDEX(QZ_SrcToZ1,(QZ_Sel-1)*3+3),0),"")))</f>
        <v>2</v>
      </c>
      <c r="D111" s="105" t="s">
        <v>483</v>
      </c>
    </row>
    <row r="112" spans="2:4" x14ac:dyDescent="0.35">
      <c r="B112" s="103" t="s">
        <v>489</v>
      </c>
      <c r="C112" s="132" t="b">
        <f>IF(OR(QZ_Substance="",QZ_Sel=""),"",IF(QZ_Gov1="",FALSE,INDEX(QZ_SrcSized,(QZ_Sel-1)*3+QZ_Gov1)))</f>
        <v>1</v>
      </c>
      <c r="D112" s="105"/>
    </row>
    <row r="113" spans="2:6" x14ac:dyDescent="0.35">
      <c r="B113" s="103" t="s">
        <v>490</v>
      </c>
      <c r="C113" s="132" t="b">
        <f>IF(OR(QZ_Substance="",QZ_Sel=""),"",IF(QZ_GovSized1,INDEX(QZ_SrcInner,(QZ_Sel-1)*3+QZ_Gov1)&lt;&gt;1,FALSE))</f>
        <v>0</v>
      </c>
      <c r="D113" s="105"/>
    </row>
    <row r="114" spans="2:6" x14ac:dyDescent="0.35">
      <c r="B114" s="103" t="s">
        <v>491</v>
      </c>
      <c r="C114" s="132" t="b">
        <f>IF(OR(QZ_Substance="",QZ_Sel=""),"",IF(QZ_GovSized1,IF(QZ_Outer1,INDEX(QZ_SrcCapOut,(QZ_Sel-1)*3+QZ_Gov1),INDEX(QZ_SrcCapIn,(QZ_Sel-1)*3+QZ_Gov1)),FALSE))</f>
        <v>1</v>
      </c>
      <c r="D114" s="105"/>
    </row>
    <row r="115" spans="2:6" x14ac:dyDescent="0.35">
      <c r="B115" s="103" t="s">
        <v>492</v>
      </c>
      <c r="C115" s="132" t="str">
        <f>IF(OR(QZ_Substance="",QZ_Sel=""),"",IF(QZ_R1=-2,"Covered by the whole-room zone.",IF(QZ_R1=-3,IFERROR(INDEX(QZ_SrcText,(QZ_Sel-1)*3+QZ_Gov1),INDEX(QZ_SrcText,(QZ_Sel-1)*3+2))&amp;". Stays inside Zone "&amp;"0"&amp;".",IF(QZ_R1=-1,IF(QZ_NE1&gt;=0,INDEX(QZ_SrcText,(QZ_Sel-1)*3+2)&amp;". Negligible extent: Vz is under 0.1 m³.",IF(QZ_Sel=1,"No release in normal operation: the system stays closed.",IF(QZ_Sel=4,"No release in normal operation apart from the open surface.","No primary source for this activity."))),IFERROR(INDEX(QZ_SrcText,(QZ_Sel-1)*3+QZ_Gov1),INDEX(QZ_SrcText,(QZ_Sel-1)*3+2))&amp;"."&amp;IF(QZ_R1=0,"",IF(QZ_Outer1," Sized for ventilation failure.",IF(AND(QZ_GovSized1,QZ_Gov1&lt;&gt;2)," Ventilation is too low to dilute it, so it counts as Zone 1.","")))&amp;IF(QZ_Capped1," Limited by the amount handled.","")))))</f>
        <v>Vapour pushed out of the container mouth while filling. Limited by the amount handled.</v>
      </c>
      <c r="D115" s="105"/>
    </row>
    <row r="116" spans="2:6" x14ac:dyDescent="0.35">
      <c r="B116" s="103" t="s">
        <v>493</v>
      </c>
      <c r="C116" s="132">
        <f>IF(OR(QZ_Substance="",QZ_Sel=""),"",IF(AND(ISNUMBER(INDEX(QZ_SrcToZ2,(QZ_Sel-1)*3+3)),INDEX(QZ_SrcToZ2,(QZ_Sel-1)*3+3)=QZ_RawZ2),3,IFERROR(MATCH(QZ_RawZ2,INDEX(QZ_SrcToZ2,(QZ_Sel-1)*3+1):INDEX(QZ_SrcToZ2,(QZ_Sel-1)*3+3),0),"")))</f>
        <v>3</v>
      </c>
      <c r="D116" s="105" t="s">
        <v>483</v>
      </c>
    </row>
    <row r="117" spans="2:6" x14ac:dyDescent="0.35">
      <c r="B117" s="103" t="s">
        <v>494</v>
      </c>
      <c r="C117" s="132" t="b">
        <f>IF(OR(QZ_Substance="",QZ_Sel=""),"",IF(QZ_Gov2="",FALSE,INDEX(QZ_SrcSized,(QZ_Sel-1)*3+QZ_Gov2)))</f>
        <v>1</v>
      </c>
      <c r="D117" s="105"/>
    </row>
    <row r="118" spans="2:6" x14ac:dyDescent="0.35">
      <c r="B118" s="103" t="s">
        <v>495</v>
      </c>
      <c r="C118" s="132" t="b">
        <f>IF(OR(QZ_Substance="",QZ_Sel=""),"",IF(QZ_GovSized2,INDEX(QZ_SrcInner,(QZ_Sel-1)*3+QZ_Gov2)&lt;&gt;2,FALSE))</f>
        <v>0</v>
      </c>
      <c r="D118" s="105"/>
    </row>
    <row r="119" spans="2:6" x14ac:dyDescent="0.35">
      <c r="B119" s="103" t="s">
        <v>496</v>
      </c>
      <c r="C119" s="132" t="b">
        <f>IF(OR(QZ_Substance="",QZ_Sel=""),"",IF(QZ_GovSized2,IF(QZ_Outer2,INDEX(QZ_SrcCapOut,(QZ_Sel-1)*3+QZ_Gov2),INDEX(QZ_SrcCapIn,(QZ_Sel-1)*3+QZ_Gov2)),FALSE))</f>
        <v>0</v>
      </c>
      <c r="D119" s="105"/>
    </row>
    <row r="120" spans="2:6" x14ac:dyDescent="0.35">
      <c r="B120" s="103" t="s">
        <v>497</v>
      </c>
      <c r="C120" s="132" t="str">
        <f>IF(OR(QZ_Substance="",QZ_Sel=""),"",IF(QZ_R2=-2,"Covered by the whole-room zone.",IF(QZ_R2=-3,IFERROR(INDEX(QZ_SrcText,(QZ_Sel-1)*3+QZ_Gov2),INDEX(QZ_SrcText,(QZ_Sel-1)*3+3))&amp;". Stays inside Zone "&amp;IF(QZ_R1&gt;0,"1","0")&amp;".",IF(QZ_R2=-1,IF(QZ_NE2&gt;=0,INDEX(QZ_SrcText,(QZ_Sel-1)*3+3)&amp;". Negligible extent: Vz is under 0.1 m³.","No separate Zone 2 for this activity."),IFERROR(INDEX(QZ_SrcText,(QZ_Sel-1)*3+QZ_Gov2),INDEX(QZ_SrcText,(QZ_Sel-1)*3+3))&amp;"."&amp;IF(QZ_R2=0,"",IF(QZ_Outer2," Sized for ventilation failure.",IF(AND(QZ_GovSized2,QZ_Gov2&lt;&gt;3)," Ventilation is too low to dilute it, so it counts as Zone 2.","")))&amp;IF(QZ_Capped2," Limited by the amount handled.","")))))</f>
        <v>Spill of the full amount.</v>
      </c>
      <c r="D120" s="105"/>
    </row>
    <row r="121" spans="2:6" x14ac:dyDescent="0.35">
      <c r="B121" s="103" t="s">
        <v>498</v>
      </c>
      <c r="C121" s="132" t="str">
        <f>IF(QZ_Substance="","Choose a substance to see the zones.",QZ_Substance&amp;" · "&amp;IF(QZ_Amount=INT(QZ_Amount),TEXT(QZ_Amount,"#,##0"),TEXT(QZ_Amount,"#,##0.0##"))&amp;IF(QZ_IsGas," kg"," litres")&amp;" · "&amp;LOWER(QZ_Activity)&amp;" · "&amp;LOWER(QZ_Location)&amp;"s")</f>
        <v>Toluene · 25 litres · decanting / filling / sampling · indoors</v>
      </c>
      <c r="D121" s="105"/>
    </row>
    <row r="122" spans="2:6" x14ac:dyDescent="0.35">
      <c r="B122" s="103" t="s">
        <v>499</v>
      </c>
      <c r="C122" s="132" t="str">
        <f>IF(QZ_Substance="","",IFERROR("Gas group "&amp;QZ_Group&amp;" · temperature class "&amp;QZ_TClass&amp;IF(LEN(QZ_TClass)=2," or better","")&amp;" · AIT "&amp;QZ_AIT&amp;" °C","Check the gas group and AIT on the SDS"))</f>
        <v>Gas group IIA · temperature class T1 or better · AIT 480 °C</v>
      </c>
      <c r="D122" s="105"/>
    </row>
    <row r="123" spans="2:6" x14ac:dyDescent="0.35">
      <c r="B123" s="103" t="s">
        <v>226</v>
      </c>
      <c r="C123" s="132" t="str">
        <f>IF(QZ_Substance="","",IF(QZ_BelowFP,"• Handled more than "&amp;QZ_FPMargin&amp;" °C below its flash point, so no zone is normally needed. The extents apply only if it is heated, sprayed or misted."&amp;CHAR(10),"")&amp;IF(QZ_AtBP,"• At or above its boiling point the pool method underestimates the release: model it as flashing on the Gas-Vapour sheet."&amp;CHAR(10),"")&amp;IF(QZ_Heavy,"• Heavier than air: extend each zone down to the floor, the same distance across it, and into pits, drains and trenches.","• Distances are radii from the point of activity, forming a hemisphere at floor level.")&amp;CHAR(10)&amp;IF(QZ_Limited,"• Some releases are limited by the amount handled in one go. If the job repeats back to back, enter the amount per hour instead."&amp;CHAR(10),"")&amp;IF(QZ_Sel=4,"• A tin left open is a continuous source. Putting the lid back on between uses removes the Zone 0 outside the tin."&amp;CHAR(10),"")&amp;IF(QZ_Sel=5,"• Put used rags straight into a closed metal bin. Rags left out or in an open bin are a continuous source."&amp;CHAR(10),"")&amp;IF(OR(QZ_R0&gt;=9999,QZ_R1&gt;=9999,QZ_R2&gt;=9999),"• Whole room: the release is more than the ventilation can dilute. More air changes or a smaller amount shrink the zone."&amp;CHAR(10),"")&amp;IF(QZ_Low,"• Low dilution: IEC Table D.1 allows Zone 0 in place of Zone 1 where ventilation is almost absent. Confirm by assessment."&amp;CHAR(10),"")&amp;IF(AND(QZ_IsGas,NOT(ISNUMBER(QZ_Gamma))),"• The library has no γ for this gas, so the leak rate can’t be calculated."&amp;CHAR(10),"")&amp;"• Distances are exact, with the safety factor k on the LFL. Final extents still need judgement on release direction, obstructions and openings.")</f>
        <v>• Heavier than air: extend each zone down to the floor, the same distance across it, and into pits, drains and trenches.
• Some releases are limited by the amount handled in one go. If the job repeats back to back, enter the amount per hour instead.
• Distances are exact, with the safety factor k on the LFL. Final extents still need judgement on release direction, obstructions and openings.</v>
      </c>
      <c r="D123" s="105"/>
    </row>
    <row r="125" spans="2:6" ht="24" customHeight="1" x14ac:dyDescent="0.35">
      <c r="B125" s="101" t="s">
        <v>500</v>
      </c>
      <c r="C125" s="102"/>
      <c r="D125" s="102"/>
      <c r="E125" s="102"/>
      <c r="F125" s="102"/>
    </row>
    <row r="126" spans="2:6" x14ac:dyDescent="0.35">
      <c r="B126" s="134" t="s">
        <v>501</v>
      </c>
      <c r="C126" s="134" t="str">
        <f>IF(QZ_Substance="","Zone 2",IF(QZ_BelowFP=TRUE,"Zone 2 · not needed","Zone 2 · "&amp;LOWER(LEFT(QZ_Z2Text,1))&amp;MID(QZ_Z2Text,2,99)))</f>
        <v>Zone 2 · 2.65 m</v>
      </c>
      <c r="D126" s="134" t="str">
        <f>IF(QZ_Substance="","Zone 1",IF(QZ_BelowFP=TRUE,"Zone 1 · not needed","Zone 1 · "&amp;LOWER(LEFT(QZ_Z1Text,1))&amp;MID(QZ_Z1Text,2,99)))</f>
        <v>Zone 1 · 0.52 m</v>
      </c>
      <c r="E126" s="134" t="str">
        <f>IF(QZ_Substance="","Zone 0",IF(QZ_BelowFP=TRUE,"Zone 0 · not needed","Zone 0 · "&amp;LOWER(LEFT(QZ_Z0Text,1))&amp;MID(QZ_Z0Text,2,99)))</f>
        <v>Zone 0 · inside the container</v>
      </c>
      <c r="F126" s="134" t="s">
        <v>502</v>
      </c>
    </row>
    <row r="127" spans="2:6" x14ac:dyDescent="0.35">
      <c r="B127" s="135">
        <v>0</v>
      </c>
      <c r="C127" s="135">
        <f t="shared" ref="C127:C158" si="19">IF(QZ_BelowFP=TRUE,0,N(QZ_P2))</f>
        <v>2.6540040603836981</v>
      </c>
      <c r="D127" s="135">
        <f t="shared" ref="D127:D158" si="20">IF(QZ_BelowFP=TRUE,0,N(QZ_P1))</f>
        <v>0.51863879982348959</v>
      </c>
      <c r="E127" s="135">
        <f t="shared" ref="E127:E158" si="21">IF(QZ_BelowFP=TRUE,0,N(QZ_P0))</f>
        <v>0.3</v>
      </c>
      <c r="F127" s="135">
        <f t="shared" ref="F127:F158" si="22">IF(QZ_Substance="",0,MAX(N(QZ_P0),N(QZ_P1),N(QZ_P2),0.2)*0.03)</f>
        <v>7.9620121811510944E-2</v>
      </c>
    </row>
    <row r="128" spans="2:6" x14ac:dyDescent="0.35">
      <c r="B128" s="135">
        <v>5</v>
      </c>
      <c r="C128" s="135">
        <f t="shared" si="19"/>
        <v>2.6540040603836981</v>
      </c>
      <c r="D128" s="135">
        <f t="shared" si="20"/>
        <v>0.51863879982348959</v>
      </c>
      <c r="E128" s="135">
        <f t="shared" si="21"/>
        <v>0.3</v>
      </c>
      <c r="F128" s="135">
        <f t="shared" si="22"/>
        <v>7.9620121811510944E-2</v>
      </c>
    </row>
    <row r="129" spans="2:6" x14ac:dyDescent="0.35">
      <c r="B129" s="135">
        <v>10</v>
      </c>
      <c r="C129" s="135">
        <f t="shared" si="19"/>
        <v>2.6540040603836981</v>
      </c>
      <c r="D129" s="135">
        <f t="shared" si="20"/>
        <v>0.51863879982348959</v>
      </c>
      <c r="E129" s="135">
        <f t="shared" si="21"/>
        <v>0.3</v>
      </c>
      <c r="F129" s="135">
        <f t="shared" si="22"/>
        <v>7.9620121811510944E-2</v>
      </c>
    </row>
    <row r="130" spans="2:6" x14ac:dyDescent="0.35">
      <c r="B130" s="135">
        <v>15</v>
      </c>
      <c r="C130" s="135">
        <f t="shared" si="19"/>
        <v>2.6540040603836981</v>
      </c>
      <c r="D130" s="135">
        <f t="shared" si="20"/>
        <v>0.51863879982348959</v>
      </c>
      <c r="E130" s="135">
        <f t="shared" si="21"/>
        <v>0.3</v>
      </c>
      <c r="F130" s="135">
        <f t="shared" si="22"/>
        <v>7.9620121811510944E-2</v>
      </c>
    </row>
    <row r="131" spans="2:6" x14ac:dyDescent="0.35">
      <c r="B131" s="135">
        <v>20</v>
      </c>
      <c r="C131" s="135">
        <f t="shared" si="19"/>
        <v>2.6540040603836981</v>
      </c>
      <c r="D131" s="135">
        <f t="shared" si="20"/>
        <v>0.51863879982348959</v>
      </c>
      <c r="E131" s="135">
        <f t="shared" si="21"/>
        <v>0.3</v>
      </c>
      <c r="F131" s="135">
        <f t="shared" si="22"/>
        <v>7.9620121811510944E-2</v>
      </c>
    </row>
    <row r="132" spans="2:6" x14ac:dyDescent="0.35">
      <c r="B132" s="135">
        <v>25</v>
      </c>
      <c r="C132" s="135">
        <f t="shared" si="19"/>
        <v>2.6540040603836981</v>
      </c>
      <c r="D132" s="135">
        <f t="shared" si="20"/>
        <v>0.51863879982348959</v>
      </c>
      <c r="E132" s="135">
        <f t="shared" si="21"/>
        <v>0.3</v>
      </c>
      <c r="F132" s="135">
        <f t="shared" si="22"/>
        <v>7.9620121811510944E-2</v>
      </c>
    </row>
    <row r="133" spans="2:6" x14ac:dyDescent="0.35">
      <c r="B133" s="135">
        <v>30</v>
      </c>
      <c r="C133" s="135">
        <f t="shared" si="19"/>
        <v>2.6540040603836981</v>
      </c>
      <c r="D133" s="135">
        <f t="shared" si="20"/>
        <v>0.51863879982348959</v>
      </c>
      <c r="E133" s="135">
        <f t="shared" si="21"/>
        <v>0.3</v>
      </c>
      <c r="F133" s="135">
        <f t="shared" si="22"/>
        <v>7.9620121811510944E-2</v>
      </c>
    </row>
    <row r="134" spans="2:6" x14ac:dyDescent="0.35">
      <c r="B134" s="135">
        <v>35</v>
      </c>
      <c r="C134" s="135">
        <f t="shared" si="19"/>
        <v>2.6540040603836981</v>
      </c>
      <c r="D134" s="135">
        <f t="shared" si="20"/>
        <v>0.51863879982348959</v>
      </c>
      <c r="E134" s="135">
        <f t="shared" si="21"/>
        <v>0.3</v>
      </c>
      <c r="F134" s="135">
        <f t="shared" si="22"/>
        <v>7.9620121811510944E-2</v>
      </c>
    </row>
    <row r="135" spans="2:6" x14ac:dyDescent="0.35">
      <c r="B135" s="135">
        <v>40</v>
      </c>
      <c r="C135" s="135">
        <f t="shared" si="19"/>
        <v>2.6540040603836981</v>
      </c>
      <c r="D135" s="135">
        <f t="shared" si="20"/>
        <v>0.51863879982348959</v>
      </c>
      <c r="E135" s="135">
        <f t="shared" si="21"/>
        <v>0.3</v>
      </c>
      <c r="F135" s="135">
        <f t="shared" si="22"/>
        <v>7.9620121811510944E-2</v>
      </c>
    </row>
    <row r="136" spans="2:6" x14ac:dyDescent="0.35">
      <c r="B136" s="135">
        <v>45</v>
      </c>
      <c r="C136" s="135">
        <f t="shared" si="19"/>
        <v>2.6540040603836981</v>
      </c>
      <c r="D136" s="135">
        <f t="shared" si="20"/>
        <v>0.51863879982348959</v>
      </c>
      <c r="E136" s="135">
        <f t="shared" si="21"/>
        <v>0.3</v>
      </c>
      <c r="F136" s="135">
        <f t="shared" si="22"/>
        <v>7.9620121811510944E-2</v>
      </c>
    </row>
    <row r="137" spans="2:6" x14ac:dyDescent="0.35">
      <c r="B137" s="135">
        <v>50</v>
      </c>
      <c r="C137" s="135">
        <f t="shared" si="19"/>
        <v>2.6540040603836981</v>
      </c>
      <c r="D137" s="135">
        <f t="shared" si="20"/>
        <v>0.51863879982348959</v>
      </c>
      <c r="E137" s="135">
        <f t="shared" si="21"/>
        <v>0.3</v>
      </c>
      <c r="F137" s="135">
        <f t="shared" si="22"/>
        <v>7.9620121811510944E-2</v>
      </c>
    </row>
    <row r="138" spans="2:6" x14ac:dyDescent="0.35">
      <c r="B138" s="135">
        <v>55</v>
      </c>
      <c r="C138" s="135">
        <f t="shared" si="19"/>
        <v>2.6540040603836981</v>
      </c>
      <c r="D138" s="135">
        <f t="shared" si="20"/>
        <v>0.51863879982348959</v>
      </c>
      <c r="E138" s="135">
        <f t="shared" si="21"/>
        <v>0.3</v>
      </c>
      <c r="F138" s="135">
        <f t="shared" si="22"/>
        <v>7.9620121811510944E-2</v>
      </c>
    </row>
    <row r="139" spans="2:6" x14ac:dyDescent="0.35">
      <c r="B139" s="135">
        <v>60</v>
      </c>
      <c r="C139" s="135">
        <f t="shared" si="19"/>
        <v>2.6540040603836981</v>
      </c>
      <c r="D139" s="135">
        <f t="shared" si="20"/>
        <v>0.51863879982348959</v>
      </c>
      <c r="E139" s="135">
        <f t="shared" si="21"/>
        <v>0.3</v>
      </c>
      <c r="F139" s="135">
        <f t="shared" si="22"/>
        <v>7.9620121811510944E-2</v>
      </c>
    </row>
    <row r="140" spans="2:6" x14ac:dyDescent="0.35">
      <c r="B140" s="135">
        <v>65</v>
      </c>
      <c r="C140" s="135">
        <f t="shared" si="19"/>
        <v>2.6540040603836981</v>
      </c>
      <c r="D140" s="135">
        <f t="shared" si="20"/>
        <v>0.51863879982348959</v>
      </c>
      <c r="E140" s="135">
        <f t="shared" si="21"/>
        <v>0.3</v>
      </c>
      <c r="F140" s="135">
        <f t="shared" si="22"/>
        <v>7.9620121811510944E-2</v>
      </c>
    </row>
    <row r="141" spans="2:6" x14ac:dyDescent="0.35">
      <c r="B141" s="135">
        <v>70</v>
      </c>
      <c r="C141" s="135">
        <f t="shared" si="19"/>
        <v>2.6540040603836981</v>
      </c>
      <c r="D141" s="135">
        <f t="shared" si="20"/>
        <v>0.51863879982348959</v>
      </c>
      <c r="E141" s="135">
        <f t="shared" si="21"/>
        <v>0.3</v>
      </c>
      <c r="F141" s="135">
        <f t="shared" si="22"/>
        <v>7.9620121811510944E-2</v>
      </c>
    </row>
    <row r="142" spans="2:6" x14ac:dyDescent="0.35">
      <c r="B142" s="135">
        <v>75</v>
      </c>
      <c r="C142" s="135">
        <f t="shared" si="19"/>
        <v>2.6540040603836981</v>
      </c>
      <c r="D142" s="135">
        <f t="shared" si="20"/>
        <v>0.51863879982348959</v>
      </c>
      <c r="E142" s="135">
        <f t="shared" si="21"/>
        <v>0.3</v>
      </c>
      <c r="F142" s="135">
        <f t="shared" si="22"/>
        <v>7.9620121811510944E-2</v>
      </c>
    </row>
    <row r="143" spans="2:6" x14ac:dyDescent="0.35">
      <c r="B143" s="135">
        <v>80</v>
      </c>
      <c r="C143" s="135">
        <f t="shared" si="19"/>
        <v>2.6540040603836981</v>
      </c>
      <c r="D143" s="135">
        <f t="shared" si="20"/>
        <v>0.51863879982348959</v>
      </c>
      <c r="E143" s="135">
        <f t="shared" si="21"/>
        <v>0.3</v>
      </c>
      <c r="F143" s="135">
        <f t="shared" si="22"/>
        <v>7.9620121811510944E-2</v>
      </c>
    </row>
    <row r="144" spans="2:6" x14ac:dyDescent="0.35">
      <c r="B144" s="135">
        <v>85</v>
      </c>
      <c r="C144" s="135">
        <f t="shared" si="19"/>
        <v>2.6540040603836981</v>
      </c>
      <c r="D144" s="135">
        <f t="shared" si="20"/>
        <v>0.51863879982348959</v>
      </c>
      <c r="E144" s="135">
        <f t="shared" si="21"/>
        <v>0.3</v>
      </c>
      <c r="F144" s="135">
        <f t="shared" si="22"/>
        <v>7.9620121811510944E-2</v>
      </c>
    </row>
    <row r="145" spans="2:6" x14ac:dyDescent="0.35">
      <c r="B145" s="135">
        <v>90</v>
      </c>
      <c r="C145" s="135">
        <f t="shared" si="19"/>
        <v>2.6540040603836981</v>
      </c>
      <c r="D145" s="135">
        <f t="shared" si="20"/>
        <v>0.51863879982348959</v>
      </c>
      <c r="E145" s="135">
        <f t="shared" si="21"/>
        <v>0.3</v>
      </c>
      <c r="F145" s="135">
        <f t="shared" si="22"/>
        <v>7.9620121811510944E-2</v>
      </c>
    </row>
    <row r="146" spans="2:6" x14ac:dyDescent="0.35">
      <c r="B146" s="135">
        <v>95</v>
      </c>
      <c r="C146" s="135">
        <f t="shared" si="19"/>
        <v>2.6540040603836981</v>
      </c>
      <c r="D146" s="135">
        <f t="shared" si="20"/>
        <v>0.51863879982348959</v>
      </c>
      <c r="E146" s="135">
        <f t="shared" si="21"/>
        <v>0.3</v>
      </c>
      <c r="F146" s="135">
        <f t="shared" si="22"/>
        <v>7.9620121811510944E-2</v>
      </c>
    </row>
    <row r="147" spans="2:6" x14ac:dyDescent="0.35">
      <c r="B147" s="135">
        <v>100</v>
      </c>
      <c r="C147" s="135">
        <f t="shared" si="19"/>
        <v>2.6540040603836981</v>
      </c>
      <c r="D147" s="135">
        <f t="shared" si="20"/>
        <v>0.51863879982348959</v>
      </c>
      <c r="E147" s="135">
        <f t="shared" si="21"/>
        <v>0.3</v>
      </c>
      <c r="F147" s="135">
        <f t="shared" si="22"/>
        <v>7.9620121811510944E-2</v>
      </c>
    </row>
    <row r="148" spans="2:6" x14ac:dyDescent="0.35">
      <c r="B148" s="135">
        <v>105</v>
      </c>
      <c r="C148" s="135">
        <f t="shared" si="19"/>
        <v>2.6540040603836981</v>
      </c>
      <c r="D148" s="135">
        <f t="shared" si="20"/>
        <v>0.51863879982348959</v>
      </c>
      <c r="E148" s="135">
        <f t="shared" si="21"/>
        <v>0.3</v>
      </c>
      <c r="F148" s="135">
        <f t="shared" si="22"/>
        <v>7.9620121811510944E-2</v>
      </c>
    </row>
    <row r="149" spans="2:6" x14ac:dyDescent="0.35">
      <c r="B149" s="135">
        <v>110</v>
      </c>
      <c r="C149" s="135">
        <f t="shared" si="19"/>
        <v>2.6540040603836981</v>
      </c>
      <c r="D149" s="135">
        <f t="shared" si="20"/>
        <v>0.51863879982348959</v>
      </c>
      <c r="E149" s="135">
        <f t="shared" si="21"/>
        <v>0.3</v>
      </c>
      <c r="F149" s="135">
        <f t="shared" si="22"/>
        <v>7.9620121811510944E-2</v>
      </c>
    </row>
    <row r="150" spans="2:6" x14ac:dyDescent="0.35">
      <c r="B150" s="135">
        <v>115</v>
      </c>
      <c r="C150" s="135">
        <f t="shared" si="19"/>
        <v>2.6540040603836981</v>
      </c>
      <c r="D150" s="135">
        <f t="shared" si="20"/>
        <v>0.51863879982348959</v>
      </c>
      <c r="E150" s="135">
        <f t="shared" si="21"/>
        <v>0.3</v>
      </c>
      <c r="F150" s="135">
        <f t="shared" si="22"/>
        <v>7.9620121811510944E-2</v>
      </c>
    </row>
    <row r="151" spans="2:6" x14ac:dyDescent="0.35">
      <c r="B151" s="135">
        <v>120</v>
      </c>
      <c r="C151" s="135">
        <f t="shared" si="19"/>
        <v>2.6540040603836981</v>
      </c>
      <c r="D151" s="135">
        <f t="shared" si="20"/>
        <v>0.51863879982348959</v>
      </c>
      <c r="E151" s="135">
        <f t="shared" si="21"/>
        <v>0.3</v>
      </c>
      <c r="F151" s="135">
        <f t="shared" si="22"/>
        <v>7.9620121811510944E-2</v>
      </c>
    </row>
    <row r="152" spans="2:6" x14ac:dyDescent="0.35">
      <c r="B152" s="135">
        <v>125</v>
      </c>
      <c r="C152" s="135">
        <f t="shared" si="19"/>
        <v>2.6540040603836981</v>
      </c>
      <c r="D152" s="135">
        <f t="shared" si="20"/>
        <v>0.51863879982348959</v>
      </c>
      <c r="E152" s="135">
        <f t="shared" si="21"/>
        <v>0.3</v>
      </c>
      <c r="F152" s="135">
        <f t="shared" si="22"/>
        <v>7.9620121811510944E-2</v>
      </c>
    </row>
    <row r="153" spans="2:6" x14ac:dyDescent="0.35">
      <c r="B153" s="135">
        <v>130</v>
      </c>
      <c r="C153" s="135">
        <f t="shared" si="19"/>
        <v>2.6540040603836981</v>
      </c>
      <c r="D153" s="135">
        <f t="shared" si="20"/>
        <v>0.51863879982348959</v>
      </c>
      <c r="E153" s="135">
        <f t="shared" si="21"/>
        <v>0.3</v>
      </c>
      <c r="F153" s="135">
        <f t="shared" si="22"/>
        <v>7.9620121811510944E-2</v>
      </c>
    </row>
    <row r="154" spans="2:6" x14ac:dyDescent="0.35">
      <c r="B154" s="135">
        <v>135</v>
      </c>
      <c r="C154" s="135">
        <f t="shared" si="19"/>
        <v>2.6540040603836981</v>
      </c>
      <c r="D154" s="135">
        <f t="shared" si="20"/>
        <v>0.51863879982348959</v>
      </c>
      <c r="E154" s="135">
        <f t="shared" si="21"/>
        <v>0.3</v>
      </c>
      <c r="F154" s="135">
        <f t="shared" si="22"/>
        <v>7.9620121811510944E-2</v>
      </c>
    </row>
    <row r="155" spans="2:6" x14ac:dyDescent="0.35">
      <c r="B155" s="135">
        <v>140</v>
      </c>
      <c r="C155" s="135">
        <f t="shared" si="19"/>
        <v>2.6540040603836981</v>
      </c>
      <c r="D155" s="135">
        <f t="shared" si="20"/>
        <v>0.51863879982348959</v>
      </c>
      <c r="E155" s="135">
        <f t="shared" si="21"/>
        <v>0.3</v>
      </c>
      <c r="F155" s="135">
        <f t="shared" si="22"/>
        <v>7.9620121811510944E-2</v>
      </c>
    </row>
    <row r="156" spans="2:6" x14ac:dyDescent="0.35">
      <c r="B156" s="135">
        <v>145</v>
      </c>
      <c r="C156" s="135">
        <f t="shared" si="19"/>
        <v>2.6540040603836981</v>
      </c>
      <c r="D156" s="135">
        <f t="shared" si="20"/>
        <v>0.51863879982348959</v>
      </c>
      <c r="E156" s="135">
        <f t="shared" si="21"/>
        <v>0.3</v>
      </c>
      <c r="F156" s="135">
        <f t="shared" si="22"/>
        <v>7.9620121811510944E-2</v>
      </c>
    </row>
    <row r="157" spans="2:6" x14ac:dyDescent="0.35">
      <c r="B157" s="135">
        <v>150</v>
      </c>
      <c r="C157" s="135">
        <f t="shared" si="19"/>
        <v>2.6540040603836981</v>
      </c>
      <c r="D157" s="135">
        <f t="shared" si="20"/>
        <v>0.51863879982348959</v>
      </c>
      <c r="E157" s="135">
        <f t="shared" si="21"/>
        <v>0.3</v>
      </c>
      <c r="F157" s="135">
        <f t="shared" si="22"/>
        <v>7.9620121811510944E-2</v>
      </c>
    </row>
    <row r="158" spans="2:6" x14ac:dyDescent="0.35">
      <c r="B158" s="135">
        <v>155</v>
      </c>
      <c r="C158" s="135">
        <f t="shared" si="19"/>
        <v>2.6540040603836981</v>
      </c>
      <c r="D158" s="135">
        <f t="shared" si="20"/>
        <v>0.51863879982348959</v>
      </c>
      <c r="E158" s="135">
        <f t="shared" si="21"/>
        <v>0.3</v>
      </c>
      <c r="F158" s="135">
        <f t="shared" si="22"/>
        <v>7.9620121811510944E-2</v>
      </c>
    </row>
    <row r="159" spans="2:6" x14ac:dyDescent="0.35">
      <c r="B159" s="135">
        <v>160</v>
      </c>
      <c r="C159" s="135">
        <f t="shared" ref="C159:C190" si="23">IF(QZ_BelowFP=TRUE,0,N(QZ_P2))</f>
        <v>2.6540040603836981</v>
      </c>
      <c r="D159" s="135">
        <f t="shared" ref="D159:D190" si="24">IF(QZ_BelowFP=TRUE,0,N(QZ_P1))</f>
        <v>0.51863879982348959</v>
      </c>
      <c r="E159" s="135">
        <f t="shared" ref="E159:E190" si="25">IF(QZ_BelowFP=TRUE,0,N(QZ_P0))</f>
        <v>0.3</v>
      </c>
      <c r="F159" s="135">
        <f t="shared" ref="F159:F190" si="26">IF(QZ_Substance="",0,MAX(N(QZ_P0),N(QZ_P1),N(QZ_P2),0.2)*0.03)</f>
        <v>7.9620121811510944E-2</v>
      </c>
    </row>
    <row r="160" spans="2:6" x14ac:dyDescent="0.35">
      <c r="B160" s="135">
        <v>165</v>
      </c>
      <c r="C160" s="135">
        <f t="shared" si="23"/>
        <v>2.6540040603836981</v>
      </c>
      <c r="D160" s="135">
        <f t="shared" si="24"/>
        <v>0.51863879982348959</v>
      </c>
      <c r="E160" s="135">
        <f t="shared" si="25"/>
        <v>0.3</v>
      </c>
      <c r="F160" s="135">
        <f t="shared" si="26"/>
        <v>7.9620121811510944E-2</v>
      </c>
    </row>
    <row r="161" spans="2:6" x14ac:dyDescent="0.35">
      <c r="B161" s="135">
        <v>170</v>
      </c>
      <c r="C161" s="135">
        <f t="shared" si="23"/>
        <v>2.6540040603836981</v>
      </c>
      <c r="D161" s="135">
        <f t="shared" si="24"/>
        <v>0.51863879982348959</v>
      </c>
      <c r="E161" s="135">
        <f t="shared" si="25"/>
        <v>0.3</v>
      </c>
      <c r="F161" s="135">
        <f t="shared" si="26"/>
        <v>7.9620121811510944E-2</v>
      </c>
    </row>
    <row r="162" spans="2:6" x14ac:dyDescent="0.35">
      <c r="B162" s="135">
        <v>175</v>
      </c>
      <c r="C162" s="135">
        <f t="shared" si="23"/>
        <v>2.6540040603836981</v>
      </c>
      <c r="D162" s="135">
        <f t="shared" si="24"/>
        <v>0.51863879982348959</v>
      </c>
      <c r="E162" s="135">
        <f t="shared" si="25"/>
        <v>0.3</v>
      </c>
      <c r="F162" s="135">
        <f t="shared" si="26"/>
        <v>7.9620121811510944E-2</v>
      </c>
    </row>
    <row r="163" spans="2:6" x14ac:dyDescent="0.35">
      <c r="B163" s="135">
        <v>180</v>
      </c>
      <c r="C163" s="135">
        <f t="shared" si="23"/>
        <v>2.6540040603836981</v>
      </c>
      <c r="D163" s="135">
        <f t="shared" si="24"/>
        <v>0.51863879982348959</v>
      </c>
      <c r="E163" s="135">
        <f t="shared" si="25"/>
        <v>0.3</v>
      </c>
      <c r="F163" s="135">
        <f t="shared" si="26"/>
        <v>7.9620121811510944E-2</v>
      </c>
    </row>
    <row r="164" spans="2:6" x14ac:dyDescent="0.35">
      <c r="B164" s="135">
        <v>185</v>
      </c>
      <c r="C164" s="135">
        <f t="shared" si="23"/>
        <v>2.6540040603836981</v>
      </c>
      <c r="D164" s="135">
        <f t="shared" si="24"/>
        <v>0.51863879982348959</v>
      </c>
      <c r="E164" s="135">
        <f t="shared" si="25"/>
        <v>0.3</v>
      </c>
      <c r="F164" s="135">
        <f t="shared" si="26"/>
        <v>7.9620121811510944E-2</v>
      </c>
    </row>
    <row r="165" spans="2:6" x14ac:dyDescent="0.35">
      <c r="B165" s="135">
        <v>190</v>
      </c>
      <c r="C165" s="135">
        <f t="shared" si="23"/>
        <v>2.6540040603836981</v>
      </c>
      <c r="D165" s="135">
        <f t="shared" si="24"/>
        <v>0.51863879982348959</v>
      </c>
      <c r="E165" s="135">
        <f t="shared" si="25"/>
        <v>0.3</v>
      </c>
      <c r="F165" s="135">
        <f t="shared" si="26"/>
        <v>7.9620121811510944E-2</v>
      </c>
    </row>
    <row r="166" spans="2:6" x14ac:dyDescent="0.35">
      <c r="B166" s="135">
        <v>195</v>
      </c>
      <c r="C166" s="135">
        <f t="shared" si="23"/>
        <v>2.6540040603836981</v>
      </c>
      <c r="D166" s="135">
        <f t="shared" si="24"/>
        <v>0.51863879982348959</v>
      </c>
      <c r="E166" s="135">
        <f t="shared" si="25"/>
        <v>0.3</v>
      </c>
      <c r="F166" s="135">
        <f t="shared" si="26"/>
        <v>7.9620121811510944E-2</v>
      </c>
    </row>
    <row r="167" spans="2:6" x14ac:dyDescent="0.35">
      <c r="B167" s="135">
        <v>200</v>
      </c>
      <c r="C167" s="135">
        <f t="shared" si="23"/>
        <v>2.6540040603836981</v>
      </c>
      <c r="D167" s="135">
        <f t="shared" si="24"/>
        <v>0.51863879982348959</v>
      </c>
      <c r="E167" s="135">
        <f t="shared" si="25"/>
        <v>0.3</v>
      </c>
      <c r="F167" s="135">
        <f t="shared" si="26"/>
        <v>7.9620121811510944E-2</v>
      </c>
    </row>
    <row r="168" spans="2:6" x14ac:dyDescent="0.35">
      <c r="B168" s="135">
        <v>205</v>
      </c>
      <c r="C168" s="135">
        <f t="shared" si="23"/>
        <v>2.6540040603836981</v>
      </c>
      <c r="D168" s="135">
        <f t="shared" si="24"/>
        <v>0.51863879982348959</v>
      </c>
      <c r="E168" s="135">
        <f t="shared" si="25"/>
        <v>0.3</v>
      </c>
      <c r="F168" s="135">
        <f t="shared" si="26"/>
        <v>7.9620121811510944E-2</v>
      </c>
    </row>
    <row r="169" spans="2:6" x14ac:dyDescent="0.35">
      <c r="B169" s="135">
        <v>210</v>
      </c>
      <c r="C169" s="135">
        <f t="shared" si="23"/>
        <v>2.6540040603836981</v>
      </c>
      <c r="D169" s="135">
        <f t="shared" si="24"/>
        <v>0.51863879982348959</v>
      </c>
      <c r="E169" s="135">
        <f t="shared" si="25"/>
        <v>0.3</v>
      </c>
      <c r="F169" s="135">
        <f t="shared" si="26"/>
        <v>7.9620121811510944E-2</v>
      </c>
    </row>
    <row r="170" spans="2:6" x14ac:dyDescent="0.35">
      <c r="B170" s="135">
        <v>215</v>
      </c>
      <c r="C170" s="135">
        <f t="shared" si="23"/>
        <v>2.6540040603836981</v>
      </c>
      <c r="D170" s="135">
        <f t="shared" si="24"/>
        <v>0.51863879982348959</v>
      </c>
      <c r="E170" s="135">
        <f t="shared" si="25"/>
        <v>0.3</v>
      </c>
      <c r="F170" s="135">
        <f t="shared" si="26"/>
        <v>7.9620121811510944E-2</v>
      </c>
    </row>
    <row r="171" spans="2:6" x14ac:dyDescent="0.35">
      <c r="B171" s="135">
        <v>220</v>
      </c>
      <c r="C171" s="135">
        <f t="shared" si="23"/>
        <v>2.6540040603836981</v>
      </c>
      <c r="D171" s="135">
        <f t="shared" si="24"/>
        <v>0.51863879982348959</v>
      </c>
      <c r="E171" s="135">
        <f t="shared" si="25"/>
        <v>0.3</v>
      </c>
      <c r="F171" s="135">
        <f t="shared" si="26"/>
        <v>7.9620121811510944E-2</v>
      </c>
    </row>
    <row r="172" spans="2:6" x14ac:dyDescent="0.35">
      <c r="B172" s="135">
        <v>225</v>
      </c>
      <c r="C172" s="135">
        <f t="shared" si="23"/>
        <v>2.6540040603836981</v>
      </c>
      <c r="D172" s="135">
        <f t="shared" si="24"/>
        <v>0.51863879982348959</v>
      </c>
      <c r="E172" s="135">
        <f t="shared" si="25"/>
        <v>0.3</v>
      </c>
      <c r="F172" s="135">
        <f t="shared" si="26"/>
        <v>7.9620121811510944E-2</v>
      </c>
    </row>
    <row r="173" spans="2:6" x14ac:dyDescent="0.35">
      <c r="B173" s="135">
        <v>230</v>
      </c>
      <c r="C173" s="135">
        <f t="shared" si="23"/>
        <v>2.6540040603836981</v>
      </c>
      <c r="D173" s="135">
        <f t="shared" si="24"/>
        <v>0.51863879982348959</v>
      </c>
      <c r="E173" s="135">
        <f t="shared" si="25"/>
        <v>0.3</v>
      </c>
      <c r="F173" s="135">
        <f t="shared" si="26"/>
        <v>7.9620121811510944E-2</v>
      </c>
    </row>
    <row r="174" spans="2:6" x14ac:dyDescent="0.35">
      <c r="B174" s="135">
        <v>235</v>
      </c>
      <c r="C174" s="135">
        <f t="shared" si="23"/>
        <v>2.6540040603836981</v>
      </c>
      <c r="D174" s="135">
        <f t="shared" si="24"/>
        <v>0.51863879982348959</v>
      </c>
      <c r="E174" s="135">
        <f t="shared" si="25"/>
        <v>0.3</v>
      </c>
      <c r="F174" s="135">
        <f t="shared" si="26"/>
        <v>7.9620121811510944E-2</v>
      </c>
    </row>
    <row r="175" spans="2:6" x14ac:dyDescent="0.35">
      <c r="B175" s="135">
        <v>240</v>
      </c>
      <c r="C175" s="135">
        <f t="shared" si="23"/>
        <v>2.6540040603836981</v>
      </c>
      <c r="D175" s="135">
        <f t="shared" si="24"/>
        <v>0.51863879982348959</v>
      </c>
      <c r="E175" s="135">
        <f t="shared" si="25"/>
        <v>0.3</v>
      </c>
      <c r="F175" s="135">
        <f t="shared" si="26"/>
        <v>7.9620121811510944E-2</v>
      </c>
    </row>
    <row r="176" spans="2:6" x14ac:dyDescent="0.35">
      <c r="B176" s="135">
        <v>245</v>
      </c>
      <c r="C176" s="135">
        <f t="shared" si="23"/>
        <v>2.6540040603836981</v>
      </c>
      <c r="D176" s="135">
        <f t="shared" si="24"/>
        <v>0.51863879982348959</v>
      </c>
      <c r="E176" s="135">
        <f t="shared" si="25"/>
        <v>0.3</v>
      </c>
      <c r="F176" s="135">
        <f t="shared" si="26"/>
        <v>7.9620121811510944E-2</v>
      </c>
    </row>
    <row r="177" spans="2:6" x14ac:dyDescent="0.35">
      <c r="B177" s="135">
        <v>250</v>
      </c>
      <c r="C177" s="135">
        <f t="shared" si="23"/>
        <v>2.6540040603836981</v>
      </c>
      <c r="D177" s="135">
        <f t="shared" si="24"/>
        <v>0.51863879982348959</v>
      </c>
      <c r="E177" s="135">
        <f t="shared" si="25"/>
        <v>0.3</v>
      </c>
      <c r="F177" s="135">
        <f t="shared" si="26"/>
        <v>7.9620121811510944E-2</v>
      </c>
    </row>
    <row r="178" spans="2:6" x14ac:dyDescent="0.35">
      <c r="B178" s="135">
        <v>255</v>
      </c>
      <c r="C178" s="135">
        <f t="shared" si="23"/>
        <v>2.6540040603836981</v>
      </c>
      <c r="D178" s="135">
        <f t="shared" si="24"/>
        <v>0.51863879982348959</v>
      </c>
      <c r="E178" s="135">
        <f t="shared" si="25"/>
        <v>0.3</v>
      </c>
      <c r="F178" s="135">
        <f t="shared" si="26"/>
        <v>7.9620121811510944E-2</v>
      </c>
    </row>
    <row r="179" spans="2:6" x14ac:dyDescent="0.35">
      <c r="B179" s="135">
        <v>260</v>
      </c>
      <c r="C179" s="135">
        <f t="shared" si="23"/>
        <v>2.6540040603836981</v>
      </c>
      <c r="D179" s="135">
        <f t="shared" si="24"/>
        <v>0.51863879982348959</v>
      </c>
      <c r="E179" s="135">
        <f t="shared" si="25"/>
        <v>0.3</v>
      </c>
      <c r="F179" s="135">
        <f t="shared" si="26"/>
        <v>7.9620121811510944E-2</v>
      </c>
    </row>
    <row r="180" spans="2:6" x14ac:dyDescent="0.35">
      <c r="B180" s="135">
        <v>265</v>
      </c>
      <c r="C180" s="135">
        <f t="shared" si="23"/>
        <v>2.6540040603836981</v>
      </c>
      <c r="D180" s="135">
        <f t="shared" si="24"/>
        <v>0.51863879982348959</v>
      </c>
      <c r="E180" s="135">
        <f t="shared" si="25"/>
        <v>0.3</v>
      </c>
      <c r="F180" s="135">
        <f t="shared" si="26"/>
        <v>7.9620121811510944E-2</v>
      </c>
    </row>
    <row r="181" spans="2:6" x14ac:dyDescent="0.35">
      <c r="B181" s="135">
        <v>270</v>
      </c>
      <c r="C181" s="135">
        <f t="shared" si="23"/>
        <v>2.6540040603836981</v>
      </c>
      <c r="D181" s="135">
        <f t="shared" si="24"/>
        <v>0.51863879982348959</v>
      </c>
      <c r="E181" s="135">
        <f t="shared" si="25"/>
        <v>0.3</v>
      </c>
      <c r="F181" s="135">
        <f t="shared" si="26"/>
        <v>7.9620121811510944E-2</v>
      </c>
    </row>
    <row r="182" spans="2:6" x14ac:dyDescent="0.35">
      <c r="B182" s="135">
        <v>275</v>
      </c>
      <c r="C182" s="135">
        <f t="shared" si="23"/>
        <v>2.6540040603836981</v>
      </c>
      <c r="D182" s="135">
        <f t="shared" si="24"/>
        <v>0.51863879982348959</v>
      </c>
      <c r="E182" s="135">
        <f t="shared" si="25"/>
        <v>0.3</v>
      </c>
      <c r="F182" s="135">
        <f t="shared" si="26"/>
        <v>7.9620121811510944E-2</v>
      </c>
    </row>
    <row r="183" spans="2:6" x14ac:dyDescent="0.35">
      <c r="B183" s="135">
        <v>280</v>
      </c>
      <c r="C183" s="135">
        <f t="shared" si="23"/>
        <v>2.6540040603836981</v>
      </c>
      <c r="D183" s="135">
        <f t="shared" si="24"/>
        <v>0.51863879982348959</v>
      </c>
      <c r="E183" s="135">
        <f t="shared" si="25"/>
        <v>0.3</v>
      </c>
      <c r="F183" s="135">
        <f t="shared" si="26"/>
        <v>7.9620121811510944E-2</v>
      </c>
    </row>
    <row r="184" spans="2:6" x14ac:dyDescent="0.35">
      <c r="B184" s="135">
        <v>285</v>
      </c>
      <c r="C184" s="135">
        <f t="shared" si="23"/>
        <v>2.6540040603836981</v>
      </c>
      <c r="D184" s="135">
        <f t="shared" si="24"/>
        <v>0.51863879982348959</v>
      </c>
      <c r="E184" s="135">
        <f t="shared" si="25"/>
        <v>0.3</v>
      </c>
      <c r="F184" s="135">
        <f t="shared" si="26"/>
        <v>7.9620121811510944E-2</v>
      </c>
    </row>
    <row r="185" spans="2:6" x14ac:dyDescent="0.35">
      <c r="B185" s="135">
        <v>290</v>
      </c>
      <c r="C185" s="135">
        <f t="shared" si="23"/>
        <v>2.6540040603836981</v>
      </c>
      <c r="D185" s="135">
        <f t="shared" si="24"/>
        <v>0.51863879982348959</v>
      </c>
      <c r="E185" s="135">
        <f t="shared" si="25"/>
        <v>0.3</v>
      </c>
      <c r="F185" s="135">
        <f t="shared" si="26"/>
        <v>7.9620121811510944E-2</v>
      </c>
    </row>
    <row r="186" spans="2:6" x14ac:dyDescent="0.35">
      <c r="B186" s="135">
        <v>295</v>
      </c>
      <c r="C186" s="135">
        <f t="shared" si="23"/>
        <v>2.6540040603836981</v>
      </c>
      <c r="D186" s="135">
        <f t="shared" si="24"/>
        <v>0.51863879982348959</v>
      </c>
      <c r="E186" s="135">
        <f t="shared" si="25"/>
        <v>0.3</v>
      </c>
      <c r="F186" s="135">
        <f t="shared" si="26"/>
        <v>7.9620121811510944E-2</v>
      </c>
    </row>
    <row r="187" spans="2:6" x14ac:dyDescent="0.35">
      <c r="B187" s="135">
        <v>300</v>
      </c>
      <c r="C187" s="135">
        <f t="shared" si="23"/>
        <v>2.6540040603836981</v>
      </c>
      <c r="D187" s="135">
        <f t="shared" si="24"/>
        <v>0.51863879982348959</v>
      </c>
      <c r="E187" s="135">
        <f t="shared" si="25"/>
        <v>0.3</v>
      </c>
      <c r="F187" s="135">
        <f t="shared" si="26"/>
        <v>7.9620121811510944E-2</v>
      </c>
    </row>
    <row r="188" spans="2:6" x14ac:dyDescent="0.35">
      <c r="B188" s="135">
        <v>305</v>
      </c>
      <c r="C188" s="135">
        <f t="shared" si="23"/>
        <v>2.6540040603836981</v>
      </c>
      <c r="D188" s="135">
        <f t="shared" si="24"/>
        <v>0.51863879982348959</v>
      </c>
      <c r="E188" s="135">
        <f t="shared" si="25"/>
        <v>0.3</v>
      </c>
      <c r="F188" s="135">
        <f t="shared" si="26"/>
        <v>7.9620121811510944E-2</v>
      </c>
    </row>
    <row r="189" spans="2:6" x14ac:dyDescent="0.35">
      <c r="B189" s="135">
        <v>310</v>
      </c>
      <c r="C189" s="135">
        <f t="shared" si="23"/>
        <v>2.6540040603836981</v>
      </c>
      <c r="D189" s="135">
        <f t="shared" si="24"/>
        <v>0.51863879982348959</v>
      </c>
      <c r="E189" s="135">
        <f t="shared" si="25"/>
        <v>0.3</v>
      </c>
      <c r="F189" s="135">
        <f t="shared" si="26"/>
        <v>7.9620121811510944E-2</v>
      </c>
    </row>
    <row r="190" spans="2:6" x14ac:dyDescent="0.35">
      <c r="B190" s="135">
        <v>315</v>
      </c>
      <c r="C190" s="135">
        <f t="shared" si="23"/>
        <v>2.6540040603836981</v>
      </c>
      <c r="D190" s="135">
        <f t="shared" si="24"/>
        <v>0.51863879982348959</v>
      </c>
      <c r="E190" s="135">
        <f t="shared" si="25"/>
        <v>0.3</v>
      </c>
      <c r="F190" s="135">
        <f t="shared" si="26"/>
        <v>7.9620121811510944E-2</v>
      </c>
    </row>
    <row r="191" spans="2:6" x14ac:dyDescent="0.35">
      <c r="B191" s="135">
        <v>320</v>
      </c>
      <c r="C191" s="135">
        <f t="shared" ref="C191:C198" si="27">IF(QZ_BelowFP=TRUE,0,N(QZ_P2))</f>
        <v>2.6540040603836981</v>
      </c>
      <c r="D191" s="135">
        <f t="shared" ref="D191:D198" si="28">IF(QZ_BelowFP=TRUE,0,N(QZ_P1))</f>
        <v>0.51863879982348959</v>
      </c>
      <c r="E191" s="135">
        <f t="shared" ref="E191:E198" si="29">IF(QZ_BelowFP=TRUE,0,N(QZ_P0))</f>
        <v>0.3</v>
      </c>
      <c r="F191" s="135">
        <f t="shared" ref="F191:F198" si="30">IF(QZ_Substance="",0,MAX(N(QZ_P0),N(QZ_P1),N(QZ_P2),0.2)*0.03)</f>
        <v>7.9620121811510944E-2</v>
      </c>
    </row>
    <row r="192" spans="2:6" x14ac:dyDescent="0.35">
      <c r="B192" s="135">
        <v>325</v>
      </c>
      <c r="C192" s="135">
        <f t="shared" si="27"/>
        <v>2.6540040603836981</v>
      </c>
      <c r="D192" s="135">
        <f t="shared" si="28"/>
        <v>0.51863879982348959</v>
      </c>
      <c r="E192" s="135">
        <f t="shared" si="29"/>
        <v>0.3</v>
      </c>
      <c r="F192" s="135">
        <f t="shared" si="30"/>
        <v>7.9620121811510944E-2</v>
      </c>
    </row>
    <row r="193" spans="2:6" x14ac:dyDescent="0.35">
      <c r="B193" s="135">
        <v>330</v>
      </c>
      <c r="C193" s="135">
        <f t="shared" si="27"/>
        <v>2.6540040603836981</v>
      </c>
      <c r="D193" s="135">
        <f t="shared" si="28"/>
        <v>0.51863879982348959</v>
      </c>
      <c r="E193" s="135">
        <f t="shared" si="29"/>
        <v>0.3</v>
      </c>
      <c r="F193" s="135">
        <f t="shared" si="30"/>
        <v>7.9620121811510944E-2</v>
      </c>
    </row>
    <row r="194" spans="2:6" x14ac:dyDescent="0.35">
      <c r="B194" s="135">
        <v>335</v>
      </c>
      <c r="C194" s="135">
        <f t="shared" si="27"/>
        <v>2.6540040603836981</v>
      </c>
      <c r="D194" s="135">
        <f t="shared" si="28"/>
        <v>0.51863879982348959</v>
      </c>
      <c r="E194" s="135">
        <f t="shared" si="29"/>
        <v>0.3</v>
      </c>
      <c r="F194" s="135">
        <f t="shared" si="30"/>
        <v>7.9620121811510944E-2</v>
      </c>
    </row>
    <row r="195" spans="2:6" x14ac:dyDescent="0.35">
      <c r="B195" s="135">
        <v>340</v>
      </c>
      <c r="C195" s="135">
        <f t="shared" si="27"/>
        <v>2.6540040603836981</v>
      </c>
      <c r="D195" s="135">
        <f t="shared" si="28"/>
        <v>0.51863879982348959</v>
      </c>
      <c r="E195" s="135">
        <f t="shared" si="29"/>
        <v>0.3</v>
      </c>
      <c r="F195" s="135">
        <f t="shared" si="30"/>
        <v>7.9620121811510944E-2</v>
      </c>
    </row>
    <row r="196" spans="2:6" x14ac:dyDescent="0.35">
      <c r="B196" s="135">
        <v>345</v>
      </c>
      <c r="C196" s="135">
        <f t="shared" si="27"/>
        <v>2.6540040603836981</v>
      </c>
      <c r="D196" s="135">
        <f t="shared" si="28"/>
        <v>0.51863879982348959</v>
      </c>
      <c r="E196" s="135">
        <f t="shared" si="29"/>
        <v>0.3</v>
      </c>
      <c r="F196" s="135">
        <f t="shared" si="30"/>
        <v>7.9620121811510944E-2</v>
      </c>
    </row>
    <row r="197" spans="2:6" x14ac:dyDescent="0.35">
      <c r="B197" s="135">
        <v>350</v>
      </c>
      <c r="C197" s="135">
        <f t="shared" si="27"/>
        <v>2.6540040603836981</v>
      </c>
      <c r="D197" s="135">
        <f t="shared" si="28"/>
        <v>0.51863879982348959</v>
      </c>
      <c r="E197" s="135">
        <f t="shared" si="29"/>
        <v>0.3</v>
      </c>
      <c r="F197" s="135">
        <f t="shared" si="30"/>
        <v>7.9620121811510944E-2</v>
      </c>
    </row>
    <row r="198" spans="2:6" x14ac:dyDescent="0.35">
      <c r="B198" s="135">
        <v>355</v>
      </c>
      <c r="C198" s="135">
        <f t="shared" si="27"/>
        <v>2.6540040603836981</v>
      </c>
      <c r="D198" s="135">
        <f t="shared" si="28"/>
        <v>0.51863879982348959</v>
      </c>
      <c r="E198" s="135">
        <f t="shared" si="29"/>
        <v>0.3</v>
      </c>
      <c r="F198" s="135">
        <f t="shared" si="30"/>
        <v>7.9620121811510944E-2</v>
      </c>
    </row>
  </sheetData>
  <pageMargins left="0.4" right="0.4" top="0.5" bottom="0.5" header="0.5" footer="0.5"/>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131</vt:i4>
      </vt:variant>
    </vt:vector>
  </HeadingPairs>
  <TitlesOfParts>
    <vt:vector size="139" baseType="lpstr">
      <vt:lpstr>Quick Zone</vt:lpstr>
      <vt:lpstr>Read Me</vt:lpstr>
      <vt:lpstr>Gas-Vapour</vt:lpstr>
      <vt:lpstr>Dust</vt:lpstr>
      <vt:lpstr>Substances</vt:lpstr>
      <vt:lpstr>Dusts</vt:lpstr>
      <vt:lpstr>Tables</vt:lpstr>
      <vt:lpstr>Quick Zone Calc</vt:lpstr>
      <vt:lpstr>Dust!Print_Area</vt:lpstr>
      <vt:lpstr>Dusts!Print_Area</vt:lpstr>
      <vt:lpstr>'Gas-Vapour'!Print_Area</vt:lpstr>
      <vt:lpstr>'Quick Zone'!Print_Area</vt:lpstr>
      <vt:lpstr>'Quick Zone Calc'!Print_Area</vt:lpstr>
      <vt:lpstr>Substances!Print_Area</vt:lpstr>
      <vt:lpstr>Tables!Print_Area</vt:lpstr>
      <vt:lpstr>QZ_ACH</vt:lpstr>
      <vt:lpstr>QZ_ACHFail</vt:lpstr>
      <vt:lpstr>QZ_Activity</vt:lpstr>
      <vt:lpstr>QZ_AIT</vt:lpstr>
      <vt:lpstr>QZ_Amount</vt:lpstr>
      <vt:lpstr>QZ_AntA</vt:lpstr>
      <vt:lpstr>QZ_AntB</vt:lpstr>
      <vt:lpstr>QZ_AntC</vt:lpstr>
      <vt:lpstr>QZ_AtBP</vt:lpstr>
      <vt:lpstr>QZ_Avail</vt:lpstr>
      <vt:lpstr>QZ_Basis0</vt:lpstr>
      <vt:lpstr>QZ_Basis1</vt:lpstr>
      <vt:lpstr>QZ_Basis2</vt:lpstr>
      <vt:lpstr>QZ_BelowFP</vt:lpstr>
      <vt:lpstr>QZ_BP</vt:lpstr>
      <vt:lpstr>QZ_BundArea</vt:lpstr>
      <vt:lpstr>QZ_C</vt:lpstr>
      <vt:lpstr>QZ_C2</vt:lpstr>
      <vt:lpstr>QZ_Capped0</vt:lpstr>
      <vt:lpstr>QZ_Capped1</vt:lpstr>
      <vt:lpstr>QZ_Capped2</vt:lpstr>
      <vt:lpstr>QZ_Cd</vt:lpstr>
      <vt:lpstr>QZ_DispRate</vt:lpstr>
      <vt:lpstr>QZ_EPL0</vt:lpstr>
      <vt:lpstr>QZ_EPL1</vt:lpstr>
      <vt:lpstr>QZ_EPL2</vt:lpstr>
      <vt:lpstr>QZ_Equip</vt:lpstr>
      <vt:lpstr>QZ_EvapFlux</vt:lpstr>
      <vt:lpstr>QZ_f</vt:lpstr>
      <vt:lpstr>QZ_FillRate</vt:lpstr>
      <vt:lpstr>QZ_fIn</vt:lpstr>
      <vt:lpstr>QZ_fOut</vt:lpstr>
      <vt:lpstr>QZ_FP</vt:lpstr>
      <vt:lpstr>QZ_FPMargin</vt:lpstr>
      <vt:lpstr>QZ_Gamma</vt:lpstr>
      <vt:lpstr>QZ_Gov0</vt:lpstr>
      <vt:lpstr>QZ_Gov1</vt:lpstr>
      <vt:lpstr>QZ_Gov2</vt:lpstr>
      <vt:lpstr>QZ_GovSized0</vt:lpstr>
      <vt:lpstr>QZ_GovSized1</vt:lpstr>
      <vt:lpstr>QZ_GovSized2</vt:lpstr>
      <vt:lpstr>QZ_Group</vt:lpstr>
      <vt:lpstr>QZ_Headline</vt:lpstr>
      <vt:lpstr>QZ_Heavy</vt:lpstr>
      <vt:lpstr>QZ_HoleArea</vt:lpstr>
      <vt:lpstr>QZ_Interior</vt:lpstr>
      <vt:lpstr>QZ_IsGas</vt:lpstr>
      <vt:lpstr>QZ_LELm</vt:lpstr>
      <vt:lpstr>QZ_LFL</vt:lpstr>
      <vt:lpstr>QZ_Limited</vt:lpstr>
      <vt:lpstr>QZ_Location</vt:lpstr>
      <vt:lpstr>QZ_Low</vt:lpstr>
      <vt:lpstr>QZ_M</vt:lpstr>
      <vt:lpstr>QZ_M_All</vt:lpstr>
      <vt:lpstr>QZ_M_Charge</vt:lpstr>
      <vt:lpstr>QZ_M_Fill</vt:lpstr>
      <vt:lpstr>QZ_MouthArea</vt:lpstr>
      <vt:lpstr>QZ_NE0</vt:lpstr>
      <vt:lpstr>QZ_NE1</vt:lpstr>
      <vt:lpstr>QZ_NE2</vt:lpstr>
      <vt:lpstr>QZ_Notes</vt:lpstr>
      <vt:lpstr>QZ_Outdoor</vt:lpstr>
      <vt:lpstr>QZ_Outer0</vt:lpstr>
      <vt:lpstr>QZ_Outer1</vt:lpstr>
      <vt:lpstr>QZ_Outer2</vt:lpstr>
      <vt:lpstr>QZ_P0</vt:lpstr>
      <vt:lpstr>QZ_P1</vt:lpstr>
      <vt:lpstr>QZ_P2</vt:lpstr>
      <vt:lpstr>QZ_PAbs</vt:lpstr>
      <vt:lpstr>QZ_Pc</vt:lpstr>
      <vt:lpstr>QZ_Phase</vt:lpstr>
      <vt:lpstr>QZ_Pres0</vt:lpstr>
      <vt:lpstr>QZ_Pres1</vt:lpstr>
      <vt:lpstr>QZ_Pres2</vt:lpstr>
      <vt:lpstr>QZ_Pressure</vt:lpstr>
      <vt:lpstr>QZ_Pv</vt:lpstr>
      <vt:lpstr>QZ_R0</vt:lpstr>
      <vt:lpstr>QZ_R1</vt:lpstr>
      <vt:lpstr>QZ_R2</vt:lpstr>
      <vt:lpstr>QZ_RawZ0</vt:lpstr>
      <vt:lpstr>QZ_RawZ1</vt:lpstr>
      <vt:lpstr>QZ_RawZ2</vt:lpstr>
      <vt:lpstr>QZ_RelDens</vt:lpstr>
      <vt:lpstr>QZ_Rho</vt:lpstr>
      <vt:lpstr>QZ_RhoSat</vt:lpstr>
      <vt:lpstr>QZ_RoomR</vt:lpstr>
      <vt:lpstr>QZ_RoomVol</vt:lpstr>
      <vt:lpstr>QZ_SatConc</vt:lpstr>
      <vt:lpstr>QZ_Sel</vt:lpstr>
      <vt:lpstr>QZ_SpillArea</vt:lpstr>
      <vt:lpstr>QZ_SpillDepth</vt:lpstr>
      <vt:lpstr>QZ_SpillTime</vt:lpstr>
      <vt:lpstr>QZ_SrcApplies</vt:lpstr>
      <vt:lpstr>QZ_SrcCapIn</vt:lpstr>
      <vt:lpstr>QZ_SrcCapOut</vt:lpstr>
      <vt:lpstr>QZ_SrcD1</vt:lpstr>
      <vt:lpstr>QZ_SrcDeg</vt:lpstr>
      <vt:lpstr>QZ_SrcInner</vt:lpstr>
      <vt:lpstr>QZ_SrcRate</vt:lpstr>
      <vt:lpstr>QZ_SrcSized</vt:lpstr>
      <vt:lpstr>QZ_SrcText</vt:lpstr>
      <vt:lpstr>QZ_SrcToZ0</vt:lpstr>
      <vt:lpstr>QZ_SrcToZ1</vt:lpstr>
      <vt:lpstr>QZ_SrcToZ2</vt:lpstr>
      <vt:lpstr>QZ_SrcVz</vt:lpstr>
      <vt:lpstr>QZ_Subline</vt:lpstr>
      <vt:lpstr>QZ_Substance</vt:lpstr>
      <vt:lpstr>QZ_TClass</vt:lpstr>
      <vt:lpstr>QZ_Temp</vt:lpstr>
      <vt:lpstr>QZ_TK</vt:lpstr>
      <vt:lpstr>QZ_U</vt:lpstr>
      <vt:lpstr>QZ_UIn</vt:lpstr>
      <vt:lpstr>QZ_UOut</vt:lpstr>
      <vt:lpstr>QZ_VesselArea</vt:lpstr>
      <vt:lpstr>QZ_W_Charge</vt:lpstr>
      <vt:lpstr>QZ_W_Fill</vt:lpstr>
      <vt:lpstr>QZ_W_Spill</vt:lpstr>
      <vt:lpstr>QZ_W_Surface</vt:lpstr>
      <vt:lpstr>QZ_W_Wipe</vt:lpstr>
      <vt:lpstr>QZ_WetArea</vt:lpstr>
      <vt:lpstr>QZ_WHole</vt:lpstr>
      <vt:lpstr>QZ_Z0Text</vt:lpstr>
      <vt:lpstr>QZ_Z1Text</vt:lpstr>
      <vt:lpstr>QZ_Z2Text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Barrell</cp:lastModifiedBy>
  <cp:revision>0</cp:revision>
  <dcterms:created xsi:type="dcterms:W3CDTF">2026-10-28T11:33:32Z</dcterms:created>
  <dcterms:modified xsi:type="dcterms:W3CDTF">2026-10-28T13:36:13Z</dcterms:modified>
  <dc:language>en-US</dc:language>
</cp:coreProperties>
</file>