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Quick Zone" sheetId="1" state="visible" r:id="rId3"/>
    <sheet name="Read Me" sheetId="2" state="visible" r:id="rId4"/>
    <sheet name="Gas-Vapour" sheetId="3" state="visible" r:id="rId5"/>
    <sheet name="Dust" sheetId="4" state="visible" r:id="rId6"/>
    <sheet name="Substances" sheetId="5" state="visible" r:id="rId7"/>
    <sheet name="Tables" sheetId="6" state="visible" r:id="rId8"/>
    <sheet name="Dusts" sheetId="7" state="visible" r:id="rId9"/>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J7" authorId="0">
      <text>
        <r>
          <rPr>
            <sz val="10"/>
            <rFont val="Arial"/>
            <family val="2"/>
          </rPr>
          <t xml:space="preserve">Equivalent leak hole cross-section. Use IEC 60079-10-1 Table B.1 for typical values by item and grade.</t>
        </r>
      </text>
    </comment>
    <comment ref="K7" authorId="0">
      <text>
        <r>
          <rPr>
            <sz val="10"/>
            <rFont val="Arial"/>
            <family val="2"/>
          </rPr>
          <t xml:space="preserve">0.50–0.75 sharp-edged orifice; 0.95–0.99 rounded. 0.75 is a common default.</t>
        </r>
      </text>
    </comment>
    <comment ref="L7" authorId="0">
      <text>
        <r>
          <rPr>
            <sz val="10"/>
            <rFont val="Arial"/>
            <family val="2"/>
          </rPr>
          <t xml:space="preserve">Compressibility factor; 1.0 for ideal gas at modest pressure.</t>
        </r>
      </text>
    </comment>
    <comment ref="M7" authorId="0">
      <text>
        <r>
          <rPr>
            <sz val="10"/>
            <rFont val="Arial"/>
            <family val="2"/>
          </rPr>
          <t xml:space="preserve">Fraction of a liquid jet that vaporises. Blank = 1 if at/above boiling point, else 0 (model the pool separately).</t>
        </r>
      </text>
    </comment>
    <comment ref="O7" authorId="0">
      <text>
        <r>
          <rPr>
            <sz val="10"/>
            <rFont val="Arial"/>
            <family val="2"/>
          </rPr>
          <t xml:space="preserve">Air velocity over the pool surface. Indoors typically 0.1–0.5 m/s.</t>
        </r>
      </text>
    </comment>
    <comment ref="P7" authorId="0">
      <text>
        <r>
          <rPr>
            <sz val="10"/>
            <rFont val="Arial"/>
            <family val="2"/>
          </rPr>
          <t xml:space="preserve">Leave blank to use Antoine constants (or Trouton estimate) from the Substances sheet.</t>
        </r>
      </text>
    </comment>
    <comment ref="S7" authorId="0">
      <text>
        <r>
          <rPr>
            <sz val="10"/>
            <rFont val="Arial"/>
            <family val="2"/>
          </rPr>
          <t xml:space="preserve">1 = uniform mixing; 1.5 mildly inefficient; up to 5 very inefficient (IEC 60079-10-1).</t>
        </r>
      </text>
    </comment>
    <comment ref="AO7" authorId="0">
      <text>
        <r>
          <rPr>
            <sz val="10"/>
            <rFont val="Arial"/>
            <family val="2"/>
          </rPr>
          <t xml:space="preserve">Indoor: air changes per hour / 3600. Outdoor: fixed 0.03 s⁻¹ (Tables sheet).</t>
        </r>
      </text>
    </comment>
    <comment ref="AQ7" authorId="0">
      <text>
        <r>
          <rPr>
            <sz val="10"/>
            <rFont val="Arial"/>
            <family val="2"/>
          </rPr>
          <t xml:space="preserve">High: Vz &lt; 0.1 m³. Indoor Medium: Vz &lt; V0; Low: Vz ≥ V0. Outdoor: Medium unless Vz &lt; 0.1 m³.</t>
        </r>
      </text>
    </comment>
    <comment ref="AR7" authorId="0">
      <text>
        <r>
          <rPr>
            <sz val="10"/>
            <rFont val="Arial"/>
            <family val="2"/>
          </rPr>
          <t xml:space="preserve">Time for concentration to fall from X0 to k×LFL after release stops: t = −(f/C)·ln(k·LFL/X0).</t>
        </r>
      </text>
    </comment>
    <comment ref="AT7" authorId="0">
      <text>
        <r>
          <rPr>
            <sz val="10"/>
            <rFont val="Arial"/>
            <family val="2"/>
          </rPr>
          <t xml:space="preserve">Radius of a hemisphere with volume Vz. Indicative only — Vz is not the zone extent.</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E5" authorId="0">
      <text>
        <r>
          <rPr>
            <sz val="10"/>
            <rFont val="Arial"/>
            <family val="2"/>
          </rPr>
          <t xml:space="preserve">Good: layers kept negligible → no zone from layers. Fair: layers present but removed before hazardous → Zone 22. Poor: layers persist → Zone 21 (IEC 60079-10-2).</t>
        </r>
      </text>
    </comment>
    <comment ref="Q5" authorId="0">
      <text>
        <r>
          <rPr>
            <sz val="10"/>
            <rFont val="Arial"/>
            <family val="2"/>
          </rPr>
          <t xml:space="preserve">For layers up to 5 mm: MIT(5 mm layer) − 75 K. Thicker layers need the reduction graph in IEC 60079-14 or laboratory testing.</t>
        </r>
      </text>
    </comment>
  </commentList>
</comments>
</file>

<file path=xl/sharedStrings.xml><?xml version="1.0" encoding="utf-8"?>
<sst xmlns="http://schemas.openxmlformats.org/spreadsheetml/2006/main" count="427" uniqueCount="294">
  <si>
    <t xml:space="preserve">Quick Zone — select a substance, enter the amount, get the zoning</t>
  </si>
  <si>
    <t xml:space="preserve">Yellow cells are inputs. Same IEC 60079-10-1 Vz maths as the Gas-Vapour sheet, with standard assumptions (editable below).</t>
  </si>
  <si>
    <t xml:space="preserve">1. WHAT ARE YOU HANDLING?</t>
  </si>
  <si>
    <t xml:space="preserve">RESULT FOR YOUR ACTIVITY</t>
  </si>
  <si>
    <t xml:space="preserve">Substance</t>
  </si>
  <si>
    <t xml:space="preserve">Toluene</t>
  </si>
  <si>
    <t xml:space="preserve">Choose from the Substances sheet</t>
  </si>
  <si>
    <t xml:space="preserve">ZONE CLASSIFICATION</t>
  </si>
  <si>
    <t xml:space="preserve">Amount</t>
  </si>
  <si>
    <t xml:space="preserve">Zone</t>
  </si>
  <si>
    <t xml:space="preserve">Distance around point of activity</t>
  </si>
  <si>
    <t xml:space="preserve">EPL</t>
  </si>
  <si>
    <t xml:space="preserve">Activity</t>
  </si>
  <si>
    <t xml:space="preserve">Decanting / filling / sampling</t>
  </si>
  <si>
    <t xml:space="preserve">Sets the grade of release</t>
  </si>
  <si>
    <t xml:space="preserve">Inner zone (normal ventilation)</t>
  </si>
  <si>
    <t xml:space="preserve">Indoor or outdoor</t>
  </si>
  <si>
    <t xml:space="preserve">Indoor</t>
  </si>
  <si>
    <t xml:space="preserve">Outer zone (ventilation degraded)</t>
  </si>
  <si>
    <t xml:space="preserve">Temperature (°C)</t>
  </si>
  <si>
    <t xml:space="preserve">Liquid / gas temperature</t>
  </si>
  <si>
    <t xml:space="preserve">Equipment gas group / T-class</t>
  </si>
  <si>
    <t xml:space="preserve">Pressure (barg) — gases only</t>
  </si>
  <si>
    <t xml:space="preserve">Ignored for liquids</t>
  </si>
  <si>
    <t xml:space="preserve">Degree of ventilation</t>
  </si>
  <si>
    <t xml:space="preserve">Room volume (m³) — indoor only</t>
  </si>
  <si>
    <t xml:space="preserve">Release rate</t>
  </si>
  <si>
    <t xml:space="preserve">Air changes per hour — indoor only</t>
  </si>
  <si>
    <t xml:space="preserve">~1 natural, 3–6 general mechanical, 10+ LEV</t>
  </si>
  <si>
    <t xml:space="preserve">Notes</t>
  </si>
  <si>
    <t xml:space="preserve">Ventilation availability</t>
  </si>
  <si>
    <t xml:space="preserve">Good</t>
  </si>
  <si>
    <t xml:space="preserve">Good = always on; Fair = occasional outages; Poor</t>
  </si>
  <si>
    <t xml:space="preserve">Air changes per hour if ventilation fails — indoor</t>
  </si>
  <si>
    <t xml:space="preserve">Sizes the outer zone; closed building infiltration ~0.25–1</t>
  </si>
  <si>
    <t xml:space="preserve">2. ASSUMPTIONS (change if you know better)</t>
  </si>
  <si>
    <t xml:space="preserve">3. ZONING REGIME FOR THIS AMOUNT, BY ACTIVITY</t>
  </si>
  <si>
    <t xml:space="preserve">Spill depth for liquids (mm)</t>
  </si>
  <si>
    <t xml:space="preserve">Unconfined spill on a floor; amount ÷ depth = pool area</t>
  </si>
  <si>
    <t xml:space="preserve">Grade</t>
  </si>
  <si>
    <t xml:space="preserve">Zone classification</t>
  </si>
  <si>
    <t xml:space="preserve">Inner zone</t>
  </si>
  <si>
    <t xml:space="preserve">Inner zone distance</t>
  </si>
  <si>
    <t xml:space="preserve">Inner EPL</t>
  </si>
  <si>
    <t xml:space="preserve">Outer zone</t>
  </si>
  <si>
    <t xml:space="preserve">Outer zone distance</t>
  </si>
  <si>
    <t xml:space="preserve">Outer EPL</t>
  </si>
  <si>
    <t xml:space="preserve">k</t>
  </si>
  <si>
    <t xml:space="preserve">(dV/dt)min (m³/s)</t>
  </si>
  <si>
    <t xml:space="preserve">Vz normal (m³)</t>
  </si>
  <si>
    <t xml:space="preserve">Vz radius normal (m)</t>
  </si>
  <si>
    <t xml:space="preserve">Vz degraded vent. (m³)</t>
  </si>
  <si>
    <t xml:space="preserve">Vz radius degraded (m)</t>
  </si>
  <si>
    <t xml:space="preserve">Persistence (min)</t>
  </si>
  <si>
    <t xml:space="preserve">Bund / tray / opening area (m²) — optional</t>
  </si>
  <si>
    <t xml:space="preserve">If set, caps the pool area (e.g. drip tray, open vessel surface)</t>
  </si>
  <si>
    <t xml:space="preserve">Closed containers / sealed system</t>
  </si>
  <si>
    <t xml:space="preserve">Secondary</t>
  </si>
  <si>
    <t xml:space="preserve">Air velocity over pool — indoor (m/s)</t>
  </si>
  <si>
    <t xml:space="preserve">Primary</t>
  </si>
  <si>
    <t xml:space="preserve">Air velocity over pool — outdoor (m/s)</t>
  </si>
  <si>
    <t xml:space="preserve">Open vessel / continuous emission</t>
  </si>
  <si>
    <t xml:space="preserve">Continuous</t>
  </si>
  <si>
    <t xml:space="preserve">Ventilation efficiency f — indoor</t>
  </si>
  <si>
    <t xml:space="preserve">1 = perfect mixing … 5 = very poor</t>
  </si>
  <si>
    <t xml:space="preserve">Grade from activity: closed systems = secondary, decanting/filling = primary, open vessels = continuous. Inner zone is sized with normal ventilation. Where IEC Table D.1 gives a second zone (fair/poor availability), the outer zone is sized with degraded ventilation (cell C14 indoors; calm-wind factor on the Tables sheet outdoors).</t>
  </si>
  <si>
    <t xml:space="preserve">Ventilation efficiency f — outdoor</t>
  </si>
  <si>
    <t xml:space="preserve">Gas leak hole area (mm²)</t>
  </si>
  <si>
    <t xml:space="preserve">Typical small flange/valve leak — see IEC 60079-10-1 Table B.1</t>
  </si>
  <si>
    <t xml:space="preserve">Discharge coefficient Cd</t>
  </si>
  <si>
    <t xml:space="preserve">Zone distance = radius of a hemisphere of volume Vz, rounded up to the next 0.5 m, never less than the minimum distances in the assumptions; the outer zone is always at least 0.5 m beyond the inner. Verify substance data against the SDS. For multiple sources or non-standard releases use the Gas-Vapour sheet.</t>
  </si>
  <si>
    <t xml:space="preserve">Minimum zone distance (m)</t>
  </si>
  <si>
    <t xml:space="preserve">IEC 60079-10-1:2020 Fig. D.1 lower limit for jet/diffusive releases</t>
  </si>
  <si>
    <t xml:space="preserve">Minimum zone distance — heavier-than-air (m)</t>
  </si>
  <si>
    <t xml:space="preserve">IEC 60079-10-1:2020 Fig. D.1 lower limit for heavy gas</t>
  </si>
  <si>
    <t xml:space="preserve">WORKINGS (calculated)</t>
  </si>
  <si>
    <t xml:space="preserve">Phase</t>
  </si>
  <si>
    <t xml:space="preserve">Molar mass M (kg/kmol)</t>
  </si>
  <si>
    <t xml:space="preserve">LFL (vol%)</t>
  </si>
  <si>
    <t xml:space="preserve">γ</t>
  </si>
  <si>
    <t xml:space="preserve">Liquid density (kg/m³)</t>
  </si>
  <si>
    <t xml:space="preserve">Boiling point (°C)</t>
  </si>
  <si>
    <t xml:space="preserve">Flash point (°C)</t>
  </si>
  <si>
    <t xml:space="preserve">AIT (°C)</t>
  </si>
  <si>
    <t xml:space="preserve">Gas group</t>
  </si>
  <si>
    <t xml:space="preserve">Antoine A</t>
  </si>
  <si>
    <t xml:space="preserve">Antoine B</t>
  </si>
  <si>
    <t xml:space="preserve">Antoine C</t>
  </si>
  <si>
    <t xml:space="preserve">Temperature T (K)</t>
  </si>
  <si>
    <t xml:space="preserve">Vapour pressure pv (kPa)</t>
  </si>
  <si>
    <t xml:space="preserve">Pool area (m²)</t>
  </si>
  <si>
    <t xml:space="preserve">Air velocity over pool (m/s)</t>
  </si>
  <si>
    <t xml:space="preserve">Pressure p (Pa abs)</t>
  </si>
  <si>
    <t xml:space="preserve">Critical pressure pc (Pa abs)</t>
  </si>
  <si>
    <t xml:space="preserve">Release rate dG/dt (kg/s)</t>
  </si>
  <si>
    <t xml:space="preserve">Time to release inventory / evaporate spill (min)</t>
  </si>
  <si>
    <t xml:space="preserve">LELm (kg/m³)</t>
  </si>
  <si>
    <t xml:space="preserve">Ventilation efficiency f</t>
  </si>
  <si>
    <t xml:space="preserve">Air changes C (s⁻¹)</t>
  </si>
  <si>
    <t xml:space="preserve">Rel. vapour density (air = 1)</t>
  </si>
  <si>
    <t xml:space="preserve">Air changes when ventilation degraded C2 (s⁻¹)</t>
  </si>
  <si>
    <t xml:space="preserve">DSEAR Zoning Calculator</t>
  </si>
  <si>
    <t xml:space="preserve">Same zoning maths as the dsear_core engine: IEC 60079-10-1 release rates → hypothetical volume Vz → degree of ventilation → zone (with availability) → EPL, gas group and T-class. Dust zoning per IEC 60079-10-2.</t>
  </si>
  <si>
    <t xml:space="preserve">Sheets</t>
  </si>
  <si>
    <t xml:space="preserve">Gas-Vapour — one row per source of release (50 rows). Yellow = input, grey = from library, green = result.</t>
  </si>
  <si>
    <t xml:space="preserve">Dust — one row per dust source (40 rows).</t>
  </si>
  <si>
    <t xml:space="preserve">Substances / Dusts — material property libraries. Add rows to extend the dropdowns.</t>
  </si>
  <si>
    <t xml:space="preserve">Tables — constants, k factors, zone matrix and T-class table used by every formula.</t>
  </si>
  <si>
    <t xml:space="preserve">Gas / vapour method</t>
  </si>
  <si>
    <t xml:space="preserve">1. Release rate dG/dt (kg/s)</t>
  </si>
  <si>
    <t xml:space="preserve">   Gas, choked (p &gt; pc):  W = Cd·S·p·√[ γ·M/(Z·R·T) · (2/(γ+1))^((γ+1)/(γ−1)) ]</t>
  </si>
  <si>
    <t xml:space="preserve">   Gas, subsonic:  W = Cd·S·p·√[ M/(Z·R·T) · 2γ/(γ−1) · (1 − (pa/p)^((γ−1)/γ)) · (pa/p)^(2/γ) ]</t>
  </si>
  <si>
    <t xml:space="preserve">   Critical pressure:  pc = pa·((γ+1)/2)^(γ/(γ−1))</t>
  </si>
  <si>
    <t xml:space="preserve">   Liquid jet:  WL = Cd·S·√(2ρΔp);  vapour rate = WL × vaporised fraction</t>
  </si>
  <si>
    <t xml:space="preserve">   Pool evaporation:  We = 6.55·uw^0.78·Ap·pv·M^0.667 / (R·T)   (pv in kPa)</t>
  </si>
  <si>
    <t xml:space="preserve">   Vapour pressure: override cell, else Antoine log10(P/mmHg) = A − B/(C+T), else Trouton: pv = 101.325·exp(10.58·(1 − Tb/T))</t>
  </si>
  <si>
    <t xml:space="preserve">2. Minimum ventilation flow  (dV/dt)min = dG/dt / (k·LELm) × Ta/293,   LELm = 0.416×10⁻³ × M × LEL(vol%)</t>
  </si>
  <si>
    <t xml:space="preserve">   k = 0.25 continuous/primary, 0.5 secondary</t>
  </si>
  <si>
    <t xml:space="preserve">3. Hypothetical volume  Vz = f·(dV/dt)min / C   (C = ACH/3600 indoor; 0.03 s⁻¹ outdoor)</t>
  </si>
  <si>
    <t xml:space="preserve">4. Degree of ventilation: High if Vz &lt; 0.1 m³; indoor Medium if Vz &lt; V0, Low if Vz ≥ V0; outdoor Medium otherwise</t>
  </si>
  <si>
    <t xml:space="preserve">5. Persistence time  t = −(f/C)·ln(k·LEL/X0),  X0 = 100 vol%</t>
  </si>
  <si>
    <t xml:space="preserve">6. Zone from grade × degree × availability (Tables sheet); EPL Ga/Gb/Gc from the zone; T-class from AIT</t>
  </si>
  <si>
    <t xml:space="preserve">Dust method</t>
  </si>
  <si>
    <t xml:space="preserve">Zone from release: continuous → 20, primary → 21, secondary → 22. Zone from layers: housekeeping poor → 21, fair → 22, good → none. The more onerous governs. Max surface temperature = min(⅔·MIT cloud, MIT 5 mm layer − 75 K).</t>
  </si>
  <si>
    <t xml:space="preserve">Limitations — read before use</t>
  </si>
  <si>
    <t xml:space="preserve">• Vz is a measure of ventilation effectiveness, not the zone extent. The hemisphere radius is indicative only; set final extents by judgement (jet direction, obstructions, heavier-than-air spread, pits/drains).</t>
  </si>
  <si>
    <t xml:space="preserve">• Substance data are indicative values from standard references. Verify LFL, AIT, flash point and gas group against the SDS or IEC 60079-20-1 for the actual material before relying on a result.</t>
  </si>
  <si>
    <t xml:space="preserve">• The pool equation is not valid for liquids at or above their boiling point; flashing releases need two-phase treatment.</t>
  </si>
  <si>
    <t xml:space="preserve">• Hole sizes should follow IEC 60079-10-1 Table B.1 for the item and grade of release.</t>
  </si>
  <si>
    <t xml:space="preserve">• This workbook supports, and does not replace, a competent-person DSEAR assessment.</t>
  </si>
  <si>
    <t xml:space="preserve">DSEAR Zoning Calculator — Gas / Vapour (IEC 60079-10-1 hypothetical volume Vz method)</t>
  </si>
  <si>
    <t xml:space="preserve">One row per source of release. Fill the yellow cells; grey cells come from the Substances sheet; green cells are the results. Example rows 8–11 show the expected format — overwrite or clear them.</t>
  </si>
  <si>
    <t xml:space="preserve">Vz is not the zone extent: the radius is an indicative size only. Final zone extents need assessor judgement (release direction, obstructions, heavier-than-air spread). See the Read Me sheet for equations and limitations.</t>
  </si>
  <si>
    <t xml:space="preserve">Input</t>
  </si>
  <si>
    <t xml:space="preserve">From library</t>
  </si>
  <si>
    <t xml:space="preserve">Calculation</t>
  </si>
  <si>
    <t xml:space="preserve">Result</t>
  </si>
  <si>
    <t xml:space="preserve">INPUTS — source of release</t>
  </si>
  <si>
    <t xml:space="preserve">SUBSTANCE DATA</t>
  </si>
  <si>
    <t xml:space="preserve">RELEASE RATE</t>
  </si>
  <si>
    <t xml:space="preserve">VENTILATION AND ZONE</t>
  </si>
  <si>
    <t xml:space="preserve">Ref</t>
  </si>
  <si>
    <t xml:space="preserve">Source of release / location</t>
  </si>
  <si>
    <t xml:space="preserve">Release type</t>
  </si>
  <si>
    <t xml:space="preserve">Grade of release</t>
  </si>
  <si>
    <t xml:space="preserve">Indoor / Outdoor</t>
  </si>
  <si>
    <t xml:space="preserve">Pressure (barg)</t>
  </si>
  <si>
    <t xml:space="preserve">Process / liquid temp (°C)</t>
  </si>
  <si>
    <t xml:space="preserve">Ambient temp (°C)</t>
  </si>
  <si>
    <t xml:space="preserve">Hole area S (mm²)</t>
  </si>
  <si>
    <t xml:space="preserve">Discharge coeff. Cd</t>
  </si>
  <si>
    <t xml:space="preserve">Compress-ibility Z</t>
  </si>
  <si>
    <t xml:space="preserve">Vaporised fraction (liquid jet, blank = auto)</t>
  </si>
  <si>
    <t xml:space="preserve">Vapour pressure override (kPa)</t>
  </si>
  <si>
    <t xml:space="preserve">Room volume V0 (m³)</t>
  </si>
  <si>
    <t xml:space="preserve">Air changes per hour</t>
  </si>
  <si>
    <t xml:space="preserve">Ventilation efficiency f (1–5)</t>
  </si>
  <si>
    <t xml:space="preserve">Availability of ventilation</t>
  </si>
  <si>
    <t xml:space="preserve">M (kg/kmol)</t>
  </si>
  <si>
    <t xml:space="preserve">Process temp T (K)</t>
  </si>
  <si>
    <t xml:space="preserve">Ambient temp Ta (K)</t>
  </si>
  <si>
    <t xml:space="preserve">Gas flow regime</t>
  </si>
  <si>
    <t xml:space="preserve">Liquid discharge (kg/s)</t>
  </si>
  <si>
    <t xml:space="preserve">Vapour release rate dG/dt (kg/s)</t>
  </si>
  <si>
    <t xml:space="preserve">Hypothetical volume Vz (m³)</t>
  </si>
  <si>
    <t xml:space="preserve">Persistence time t (min)</t>
  </si>
  <si>
    <t xml:space="preserve">ZONE</t>
  </si>
  <si>
    <t xml:space="preserve">Indicative radius, hemisphere of Vz (m)</t>
  </si>
  <si>
    <t xml:space="preserve">Required EPL</t>
  </si>
  <si>
    <t xml:space="preserve">Min. equipment group / T-class</t>
  </si>
  <si>
    <t xml:space="preserve">Flags / notes</t>
  </si>
  <si>
    <t xml:space="preserve">G1</t>
  </si>
  <si>
    <t xml:space="preserve">Propane line flange, LPG compound</t>
  </si>
  <si>
    <t xml:space="preserve">Propane</t>
  </si>
  <si>
    <t xml:space="preserve">Gas/vapour jet</t>
  </si>
  <si>
    <t xml:space="preserve">Outdoor</t>
  </si>
  <si>
    <t xml:space="preserve">G2</t>
  </si>
  <si>
    <t xml:space="preserve">Natural gas regulator flange, boiler house</t>
  </si>
  <si>
    <t xml:space="preserve">Methane</t>
  </si>
  <si>
    <t xml:space="preserve">Fair</t>
  </si>
  <si>
    <t xml:space="preserve">L1</t>
  </si>
  <si>
    <t xml:space="preserve">Toluene drum decanting — spill to bund, solvent store</t>
  </si>
  <si>
    <t xml:space="preserve">Pool evaporation</t>
  </si>
  <si>
    <t xml:space="preserve">L2</t>
  </si>
  <si>
    <t xml:space="preserve">LPG (butane) liquid pump seal — flashing release</t>
  </si>
  <si>
    <t xml:space="preserve">n-Butane</t>
  </si>
  <si>
    <t xml:space="preserve">Liquid jet</t>
  </si>
  <si>
    <t xml:space="preserve">DSEAR Zoning Calculator — Combustible Dust (IEC 60079-10-2, surface temperatures per IEC 60079-14)</t>
  </si>
  <si>
    <t xml:space="preserve">Add dust properties on the Dusts sheet first. Zone extent is an assessor input — 1 m is a common starting point for Zone 21/22 around a source, adjusted for dust properties and release.</t>
  </si>
  <si>
    <t xml:space="preserve">Dust</t>
  </si>
  <si>
    <t xml:space="preserve">Grade of release (dust cloud)</t>
  </si>
  <si>
    <t xml:space="preserve">Housekeeping (dust layers)</t>
  </si>
  <si>
    <t xml:space="preserve">Max layer thickness (mm)</t>
  </si>
  <si>
    <t xml:space="preserve">Zone extent from source (m)</t>
  </si>
  <si>
    <t xml:space="preserve">Dust group</t>
  </si>
  <si>
    <t xml:space="preserve">MIT cloud (°C)</t>
  </si>
  <si>
    <t xml:space="preserve">MIT 5 mm layer (°C)</t>
  </si>
  <si>
    <t xml:space="preserve">MIE (mJ)</t>
  </si>
  <si>
    <t xml:space="preserve">Zone from release</t>
  </si>
  <si>
    <t xml:space="preserve">Zone from layers</t>
  </si>
  <si>
    <t xml:space="preserve">Cloud limit ⅔ × MIT (°C)</t>
  </si>
  <si>
    <t xml:space="preserve">Layer limit (°C)</t>
  </si>
  <si>
    <t xml:space="preserve">Max equipment surface temp (°C)</t>
  </si>
  <si>
    <t xml:space="preserve">D1</t>
  </si>
  <si>
    <t xml:space="preserve">Bag tipping station, mixing room</t>
  </si>
  <si>
    <t xml:space="preserve">EXAMPLE organic dust</t>
  </si>
  <si>
    <t xml:space="preserve">UFL (vol%)</t>
  </si>
  <si>
    <t xml:space="preserve">Polytropic index γ</t>
  </si>
  <si>
    <t xml:space="preserve">Auto-ignition temp (°C)</t>
  </si>
  <si>
    <t xml:space="preserve">How to use</t>
  </si>
  <si>
    <t xml:space="preserve">Gas</t>
  </si>
  <si>
    <t xml:space="preserve">IIA</t>
  </si>
  <si>
    <t xml:space="preserve">Indicative — verify against SDS / IEC 60079-20-1</t>
  </si>
  <si>
    <t xml:space="preserve">Add new materials in the empty rows (up to row 60); they appear automatically in the Gas-Vapour dropdown. γ is needed for gas jets; liquid density for liquid jets; boiling point for pool/flash checks. Antoine constants are log10(P/mmHg) = A − B/(C + T/°C), from standard tables (Lange's Handbook); if blank, vapour pressure is estimated from the boiling point using Trouton's rule, or enter it directly on the calculator. Where sources disagree, the lower AIT / higher gas group has been used.</t>
  </si>
  <si>
    <t xml:space="preserve">Hydrogen</t>
  </si>
  <si>
    <t xml:space="preserve">IIC</t>
  </si>
  <si>
    <t xml:space="preserve">Ethylene</t>
  </si>
  <si>
    <t xml:space="preserve">IIB</t>
  </si>
  <si>
    <t xml:space="preserve">Acetylene</t>
  </si>
  <si>
    <t xml:space="preserve">Ammonia</t>
  </si>
  <si>
    <t xml:space="preserve">Hydrogen sulphide</t>
  </si>
  <si>
    <t xml:space="preserve">Methanol</t>
  </si>
  <si>
    <t xml:space="preserve">Liquid</t>
  </si>
  <si>
    <t xml:space="preserve">Ethanol</t>
  </si>
  <si>
    <t xml:space="preserve">Isopropanol (IPA)</t>
  </si>
  <si>
    <t xml:space="preserve">Acetone</t>
  </si>
  <si>
    <t xml:space="preserve">Ethyl acetate</t>
  </si>
  <si>
    <t xml:space="preserve">Xylene (mixed)</t>
  </si>
  <si>
    <t xml:space="preserve">n-Hexane</t>
  </si>
  <si>
    <t xml:space="preserve">n-Heptane</t>
  </si>
  <si>
    <t xml:space="preserve">Diethyl ether</t>
  </si>
  <si>
    <t xml:space="preserve">Constants and lookup tables (edit with care)</t>
  </si>
  <si>
    <t xml:space="preserve">Constant</t>
  </si>
  <si>
    <t xml:space="preserve">Value</t>
  </si>
  <si>
    <t xml:space="preserve">Basis</t>
  </si>
  <si>
    <t xml:space="preserve">Atmospheric pressure pa (Pa)</t>
  </si>
  <si>
    <t xml:space="preserve">IEC 60079-10-1 reference conditions</t>
  </si>
  <si>
    <t xml:space="preserve">Universal gas constant R (J/kmol·K)</t>
  </si>
  <si>
    <t xml:space="preserve">Initial concentration X0 for persistence time (vol%)</t>
  </si>
  <si>
    <t xml:space="preserve">IEC 60079-10-1:2008 Annex B (pure release)</t>
  </si>
  <si>
    <t xml:space="preserve">Vz threshold for HIGH degree of ventilation (m³)</t>
  </si>
  <si>
    <t xml:space="preserve">Vz below this is treated as negligible (2008 Annex B)</t>
  </si>
  <si>
    <t xml:space="preserve">Outdoor air change rate C (s⁻¹)</t>
  </si>
  <si>
    <t xml:space="preserve">2008 Annex B: outdoor, ~0.5 m/s wind through a notional 15 m cube</t>
  </si>
  <si>
    <t xml:space="preserve">Reference temperature (K)</t>
  </si>
  <si>
    <t xml:space="preserve">Used in (dV/dt)min temperature correction</t>
  </si>
  <si>
    <t xml:space="preserve">LELm conversion factor (kg/m³ per kg/kmol per vol%)</t>
  </si>
  <si>
    <t xml:space="preserve">LELm = 0.416×10⁻³ × M × LEL(vol%)</t>
  </si>
  <si>
    <t xml:space="preserve">Outdoor calm-wind factor (fraction of normal C)</t>
  </si>
  <si>
    <t xml:space="preserve">Quick Zone outer zone sizing outdoors: C2 = 0.03 × factor (assessor assumption)</t>
  </si>
  <si>
    <t xml:space="preserve">Safety factor k on LEL</t>
  </si>
  <si>
    <t xml:space="preserve">IEC 60079-10-1:2008: k = 0.25 continuous/primary, 0.5 secondary</t>
  </si>
  <si>
    <t xml:space="preserve">Zone from grade of release, degree and availability of ventilation (IEC 60079-10-1 Table B.1 / D.1)</t>
  </si>
  <si>
    <t xml:space="preserve">Grade \ Degree-Availability</t>
  </si>
  <si>
    <t xml:space="preserve">High-Good</t>
  </si>
  <si>
    <t xml:space="preserve">High-Fair</t>
  </si>
  <si>
    <t xml:space="preserve">High-Poor</t>
  </si>
  <si>
    <t xml:space="preserve">Medium-Good</t>
  </si>
  <si>
    <t xml:space="preserve">Medium-Fair</t>
  </si>
  <si>
    <t xml:space="preserve">Medium-Poor</t>
  </si>
  <si>
    <t xml:space="preserve">Low-Good</t>
  </si>
  <si>
    <t xml:space="preserve">Low-Fair</t>
  </si>
  <si>
    <t xml:space="preserve">Low-Poor</t>
  </si>
  <si>
    <t xml:space="preserve">Non-hazardous (Zone 0 NE)</t>
  </si>
  <si>
    <t xml:space="preserve">Zone 2 (Zone 0 NE)</t>
  </si>
  <si>
    <t xml:space="preserve">Zone 1 (Zone 0 NE)</t>
  </si>
  <si>
    <t xml:space="preserve">Zone 0</t>
  </si>
  <si>
    <t xml:space="preserve">Zone 0 + Zone 2</t>
  </si>
  <si>
    <t xml:space="preserve">Zone 0 + Zone 1</t>
  </si>
  <si>
    <t xml:space="preserve">Non-hazardous (Zone 1 NE)</t>
  </si>
  <si>
    <t xml:space="preserve">Zone 2 (Zone 1 NE)</t>
  </si>
  <si>
    <t xml:space="preserve">Zone 1</t>
  </si>
  <si>
    <t xml:space="preserve">Zone 1 + Zone 2</t>
  </si>
  <si>
    <t xml:space="preserve">Zone 1 or Zone 0</t>
  </si>
  <si>
    <t xml:space="preserve">Non-hazardous (Zone 2 NE)</t>
  </si>
  <si>
    <t xml:space="preserve">Zone 2</t>
  </si>
  <si>
    <t xml:space="preserve">Zone 1 and even Zone 0</t>
  </si>
  <si>
    <t xml:space="preserve">Notes: 'NE' = zone of negligible extent. 'Zone 1 or Zone 0' (low dilution, primary) is Zone 0 if ventilation is so weak that the release is effectively continuous. Low-dilution secondary: Zone 1 and possibly Zone 0 — assessor judgement.</t>
  </si>
  <si>
    <t xml:space="preserve">Temperature class from auto-ignition temperature</t>
  </si>
  <si>
    <t xml:space="preserve">AIT above (°C)</t>
  </si>
  <si>
    <t xml:space="preserve">T-class</t>
  </si>
  <si>
    <t xml:space="preserve">Max surface temp (°C)</t>
  </si>
  <si>
    <t xml:space="preserve">T6 or below — check</t>
  </si>
  <si>
    <t xml:space="preserve">T6</t>
  </si>
  <si>
    <t xml:space="preserve">T5</t>
  </si>
  <si>
    <t xml:space="preserve">T4</t>
  </si>
  <si>
    <t xml:space="preserve">T3</t>
  </si>
  <si>
    <t xml:space="preserve">T2</t>
  </si>
  <si>
    <t xml:space="preserve">T1</t>
  </si>
  <si>
    <t xml:space="preserve">Equipment T-class maximum surface temperature must be below the AIT (IEC 60079-14).</t>
  </si>
  <si>
    <t xml:space="preserve">Kst (bar·m/s)</t>
  </si>
  <si>
    <t xml:space="preserve">Use laboratory data (e.g. from the dust's test report or GESTIS-DUST-EX). Group: IIIA combustible flyings, IIIB non-conductive dust, IIIC conductive dust.</t>
  </si>
  <si>
    <t xml:space="preserve">IIIB</t>
  </si>
  <si>
    <t xml:space="preserve">Placeholder values — replace with test data for your material</t>
  </si>
</sst>
</file>

<file path=xl/styles.xml><?xml version="1.0" encoding="utf-8"?>
<styleSheet xmlns="http://schemas.openxmlformats.org/spreadsheetml/2006/main">
  <numFmts count="13">
    <numFmt numFmtId="164" formatCode="General"/>
    <numFmt numFmtId="165" formatCode="0.##"/>
    <numFmt numFmtId="166" formatCode="0.0&quot; m&quot;"/>
    <numFmt numFmtId="167" formatCode="0.0"/>
    <numFmt numFmtId="168" formatCode="0"/>
    <numFmt numFmtId="169" formatCode="0.00"/>
    <numFmt numFmtId="170" formatCode="0.00E+00"/>
    <numFmt numFmtId="171" formatCode="0.000"/>
    <numFmt numFmtId="172" formatCode="#,##0"/>
    <numFmt numFmtId="173" formatCode="#,##0.0"/>
    <numFmt numFmtId="174" formatCode="0.0000"/>
    <numFmt numFmtId="175" formatCode="0.00000"/>
    <numFmt numFmtId="176" formatCode="General"/>
  </numFmts>
  <fonts count="2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name val="Arial"/>
      <family val="0"/>
      <charset val="1"/>
    </font>
    <font>
      <b val="true"/>
      <sz val="10"/>
      <color rgb="FFFFFFFF"/>
      <name val="Arial"/>
      <family val="0"/>
      <charset val="1"/>
    </font>
    <font>
      <b val="true"/>
      <sz val="10"/>
      <name val="Arial"/>
      <family val="0"/>
      <charset val="1"/>
    </font>
    <font>
      <b val="true"/>
      <sz val="10"/>
      <color rgb="FF0000FF"/>
      <name val="Arial"/>
      <family val="0"/>
      <charset val="1"/>
    </font>
    <font>
      <i val="true"/>
      <sz val="10"/>
      <color rgb="FF595959"/>
      <name val="Arial"/>
      <family val="0"/>
      <charset val="1"/>
    </font>
    <font>
      <b val="true"/>
      <sz val="14"/>
      <name val="Arial"/>
      <family val="0"/>
      <charset val="1"/>
    </font>
    <font>
      <b val="true"/>
      <i val="true"/>
      <sz val="10"/>
      <color rgb="FF1F3864"/>
      <name val="Arial"/>
      <family val="0"/>
      <charset val="1"/>
    </font>
    <font>
      <b val="true"/>
      <sz val="13"/>
      <name val="Arial"/>
      <family val="0"/>
      <charset val="1"/>
    </font>
    <font>
      <b val="true"/>
      <sz val="12"/>
      <name val="Arial"/>
      <family val="0"/>
      <charset val="1"/>
    </font>
    <font>
      <b val="true"/>
      <sz val="11"/>
      <name val="Arial"/>
      <family val="0"/>
      <charset val="1"/>
    </font>
    <font>
      <sz val="10"/>
      <name val="Arial"/>
      <family val="0"/>
      <charset val="1"/>
    </font>
    <font>
      <sz val="10"/>
      <color rgb="FF0000FF"/>
      <name val="Arial"/>
      <family val="0"/>
      <charset val="1"/>
    </font>
    <font>
      <i val="true"/>
      <sz val="10"/>
      <color rgb="FFC00000"/>
      <name val="Arial"/>
      <family val="0"/>
      <charset val="1"/>
    </font>
    <font>
      <sz val="10"/>
      <color rgb="FF595959"/>
      <name val="Arial"/>
      <family val="0"/>
      <charset val="1"/>
    </font>
    <font>
      <b val="true"/>
      <sz val="12"/>
      <color rgb="FF1F3864"/>
      <name val="Arial"/>
      <family val="0"/>
      <charset val="1"/>
    </font>
    <font>
      <b val="true"/>
      <sz val="14"/>
      <color rgb="FF1F3864"/>
      <name val="Arial"/>
      <family val="0"/>
      <charset val="1"/>
    </font>
    <font>
      <b val="true"/>
      <sz val="10"/>
      <color rgb="FF1F3864"/>
      <name val="Arial"/>
      <family val="0"/>
      <charset val="1"/>
    </font>
    <font>
      <sz val="10"/>
      <name val="Arial"/>
      <family val="2"/>
    </font>
  </fonts>
  <fills count="8">
    <fill>
      <patternFill patternType="none"/>
    </fill>
    <fill>
      <patternFill patternType="gray125"/>
    </fill>
    <fill>
      <patternFill patternType="solid">
        <fgColor rgb="FF1F3864"/>
        <bgColor rgb="FF333333"/>
      </patternFill>
    </fill>
    <fill>
      <patternFill patternType="solid">
        <fgColor rgb="FFFFF2CC"/>
        <bgColor rgb="FFEDEDED"/>
      </patternFill>
    </fill>
    <fill>
      <patternFill patternType="solid">
        <fgColor rgb="FFE2EFDA"/>
        <bgColor rgb="FFEDEDED"/>
      </patternFill>
    </fill>
    <fill>
      <patternFill patternType="solid">
        <fgColor rgb="FFEDEDED"/>
        <bgColor rgb="FFE2EFDA"/>
      </patternFill>
    </fill>
    <fill>
      <patternFill patternType="solid">
        <fgColor rgb="FFFFFFFF"/>
        <bgColor rgb="FFEDEDED"/>
      </patternFill>
    </fill>
    <fill>
      <patternFill patternType="solid">
        <fgColor rgb="FFD9E1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6" fontId="10" fillId="4"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center" vertical="center" textRotation="0" wrapText="tru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left" vertical="top" textRotation="0" wrapText="tru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3"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general" vertical="center" textRotation="0" wrapText="true" indent="0" shrinkToFit="false"/>
      <protection locked="true" hidden="false"/>
    </xf>
    <xf numFmtId="164" fontId="15" fillId="0" borderId="1" xfId="0" applyFont="true" applyBorder="true" applyAlignment="true" applyProtection="false">
      <alignment horizontal="general" vertical="center" textRotation="0" wrapText="fals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general" vertical="center" textRotation="0" wrapText="false" indent="0" shrinkToFit="false"/>
      <protection locked="true" hidden="false"/>
    </xf>
    <xf numFmtId="169" fontId="15" fillId="0" borderId="1" xfId="0" applyFont="true" applyBorder="true" applyAlignment="true" applyProtection="false">
      <alignment horizontal="general" vertical="center" textRotation="0" wrapText="false" indent="0" shrinkToFit="false"/>
      <protection locked="true" hidden="false"/>
    </xf>
    <xf numFmtId="170" fontId="15" fillId="0" borderId="1" xfId="0" applyFont="true" applyBorder="true" applyAlignment="true" applyProtection="false">
      <alignment horizontal="general" vertical="center" textRotation="0" wrapText="false" indent="0" shrinkToFit="false"/>
      <protection locked="true" hidden="false"/>
    </xf>
    <xf numFmtId="171" fontId="15" fillId="0" borderId="1" xfId="0" applyFont="true" applyBorder="true" applyAlignment="true" applyProtection="false">
      <alignment horizontal="general" vertical="center" textRotation="0" wrapText="false" indent="0" shrinkToFit="false"/>
      <protection locked="true" hidden="false"/>
    </xf>
    <xf numFmtId="167" fontId="15" fillId="0" borderId="1"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true" applyAlignment="true" applyProtection="false">
      <alignment horizontal="left" vertical="top" textRotation="0" wrapText="tru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5" fillId="5" borderId="1" xfId="0" applyFont="true" applyBorder="true" applyAlignment="false" applyProtection="false">
      <alignment horizontal="general" vertical="bottom" textRotation="0" wrapText="false" indent="0" shrinkToFit="false"/>
      <protection locked="true" hidden="false"/>
    </xf>
    <xf numFmtId="169" fontId="15" fillId="5" borderId="1" xfId="0" applyFont="true" applyBorder="true" applyAlignment="false" applyProtection="false">
      <alignment horizontal="general" vertical="bottom" textRotation="0" wrapText="false" indent="0" shrinkToFit="false"/>
      <protection locked="true" hidden="false"/>
    </xf>
    <xf numFmtId="167" fontId="15" fillId="5" borderId="1" xfId="0" applyFont="true" applyBorder="true" applyAlignment="false" applyProtection="false">
      <alignment horizontal="general" vertical="bottom" textRotation="0" wrapText="false" indent="0" shrinkToFit="false"/>
      <protection locked="true" hidden="false"/>
    </xf>
    <xf numFmtId="168" fontId="15" fillId="5" borderId="1" xfId="0" applyFont="true" applyBorder="true" applyAlignment="false" applyProtection="false">
      <alignment horizontal="general" vertical="bottom" textRotation="0" wrapText="false" indent="0" shrinkToFit="false"/>
      <protection locked="true" hidden="false"/>
    </xf>
    <xf numFmtId="167" fontId="15" fillId="0" borderId="1" xfId="0" applyFont="true" applyBorder="true" applyAlignment="false" applyProtection="false">
      <alignment horizontal="general" vertical="bottom" textRotation="0" wrapText="false" indent="0" shrinkToFit="false"/>
      <protection locked="true" hidden="false"/>
    </xf>
    <xf numFmtId="169" fontId="15" fillId="0" borderId="1" xfId="0" applyFont="true" applyBorder="true" applyAlignment="false" applyProtection="false">
      <alignment horizontal="general" vertical="bottom" textRotation="0" wrapText="false" indent="0" shrinkToFit="false"/>
      <protection locked="true" hidden="false"/>
    </xf>
    <xf numFmtId="172" fontId="15" fillId="0" borderId="1" xfId="0" applyFont="true" applyBorder="true" applyAlignment="false" applyProtection="false">
      <alignment horizontal="general" vertical="bottom" textRotation="0" wrapText="false" indent="0" shrinkToFit="false"/>
      <protection locked="true" hidden="false"/>
    </xf>
    <xf numFmtId="170" fontId="15" fillId="0" borderId="1" xfId="0" applyFont="true" applyBorder="true" applyAlignment="false" applyProtection="false">
      <alignment horizontal="general" vertical="bottom" textRotation="0" wrapText="false" indent="0" shrinkToFit="false"/>
      <protection locked="true" hidden="false"/>
    </xf>
    <xf numFmtId="173" fontId="15" fillId="0" borderId="1" xfId="0" applyFont="true" applyBorder="true" applyAlignment="false" applyProtection="false">
      <alignment horizontal="general" vertical="bottom" textRotation="0" wrapText="false" indent="0" shrinkToFit="false"/>
      <protection locked="true" hidden="false"/>
    </xf>
    <xf numFmtId="174" fontId="15" fillId="0" borderId="1" xfId="0" applyFont="true" applyBorder="true" applyAlignment="false" applyProtection="false">
      <alignment horizontal="general" vertical="bottom" textRotation="0" wrapText="false" indent="0" shrinkToFit="false"/>
      <protection locked="true" hidden="false"/>
    </xf>
    <xf numFmtId="175" fontId="15" fillId="0"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4" fontId="21" fillId="7" borderId="0" xfId="0" applyFont="true" applyBorder="true" applyAlignment="true" applyProtection="false">
      <alignment horizontal="center" vertical="center" textRotation="0" wrapText="true" indent="0" shrinkToFit="false"/>
      <protection locked="true" hidden="false"/>
    </xf>
    <xf numFmtId="164" fontId="16" fillId="3" borderId="1" xfId="0" applyFont="true" applyBorder="true" applyAlignment="true" applyProtection="false">
      <alignment horizontal="general" vertical="center" textRotation="0" wrapText="false" indent="0" shrinkToFit="false"/>
      <protection locked="true" hidden="false"/>
    </xf>
    <xf numFmtId="164" fontId="16" fillId="3" borderId="1" xfId="0" applyFont="true" applyBorder="true" applyAlignment="true" applyProtection="false">
      <alignment horizontal="general" vertical="center" textRotation="0" wrapText="true" indent="0" shrinkToFit="false"/>
      <protection locked="true" hidden="false"/>
    </xf>
    <xf numFmtId="169" fontId="16" fillId="3" borderId="1" xfId="0" applyFont="true" applyBorder="true" applyAlignment="true" applyProtection="false">
      <alignment horizontal="general" vertical="center" textRotation="0" wrapText="false" indent="0" shrinkToFit="false"/>
      <protection locked="true" hidden="false"/>
    </xf>
    <xf numFmtId="167" fontId="16" fillId="3" borderId="1" xfId="0" applyFont="true" applyBorder="true" applyAlignment="true" applyProtection="false">
      <alignment horizontal="general" vertical="center" textRotation="0" wrapText="false" indent="0" shrinkToFit="false"/>
      <protection locked="true" hidden="false"/>
    </xf>
    <xf numFmtId="171" fontId="16" fillId="3" borderId="1" xfId="0" applyFont="true" applyBorder="true" applyAlignment="true" applyProtection="false">
      <alignment horizontal="general" vertical="center" textRotation="0" wrapText="false" indent="0" shrinkToFit="false"/>
      <protection locked="true" hidden="false"/>
    </xf>
    <xf numFmtId="168" fontId="16" fillId="3" borderId="1" xfId="0" applyFont="true" applyBorder="true" applyAlignment="true" applyProtection="false">
      <alignment horizontal="general" vertical="center" textRotation="0" wrapText="false" indent="0" shrinkToFit="false"/>
      <protection locked="true" hidden="false"/>
    </xf>
    <xf numFmtId="169" fontId="15" fillId="5" borderId="1" xfId="0" applyFont="true" applyBorder="true" applyAlignment="true" applyProtection="false">
      <alignment horizontal="general" vertical="center" textRotation="0" wrapText="false" indent="0" shrinkToFit="false"/>
      <protection locked="true" hidden="false"/>
    </xf>
    <xf numFmtId="167" fontId="15" fillId="5" borderId="1" xfId="0" applyFont="true" applyBorder="true" applyAlignment="true" applyProtection="false">
      <alignment horizontal="general" vertical="center" textRotation="0" wrapText="false" indent="0" shrinkToFit="false"/>
      <protection locked="true" hidden="false"/>
    </xf>
    <xf numFmtId="168" fontId="15" fillId="5" borderId="1" xfId="0" applyFont="true" applyBorder="true" applyAlignment="true" applyProtection="false">
      <alignment horizontal="general" vertical="center" textRotation="0" wrapText="false" indent="0" shrinkToFit="false"/>
      <protection locked="true" hidden="false"/>
    </xf>
    <xf numFmtId="164" fontId="15" fillId="5" borderId="1" xfId="0" applyFont="true" applyBorder="true" applyAlignment="true" applyProtection="false">
      <alignment horizontal="general" vertical="center" textRotation="0" wrapText="false" indent="0" shrinkToFit="false"/>
      <protection locked="true" hidden="false"/>
    </xf>
    <xf numFmtId="172" fontId="15" fillId="6" borderId="1" xfId="0" applyFont="true" applyBorder="true" applyAlignment="true" applyProtection="false">
      <alignment horizontal="general" vertical="center" textRotation="0" wrapText="false" indent="0" shrinkToFit="false"/>
      <protection locked="true" hidden="false"/>
    </xf>
    <xf numFmtId="167" fontId="15" fillId="6" borderId="1" xfId="0" applyFont="true" applyBorder="true" applyAlignment="true" applyProtection="false">
      <alignment horizontal="general" vertical="center" textRotation="0" wrapText="false" indent="0" shrinkToFit="false"/>
      <protection locked="true" hidden="false"/>
    </xf>
    <xf numFmtId="164" fontId="15" fillId="6" borderId="1" xfId="0" applyFont="true" applyBorder="true" applyAlignment="true" applyProtection="false">
      <alignment horizontal="general" vertical="center" textRotation="0" wrapText="false" indent="0" shrinkToFit="false"/>
      <protection locked="true" hidden="false"/>
    </xf>
    <xf numFmtId="169" fontId="15" fillId="6" borderId="1" xfId="0" applyFont="true" applyBorder="true" applyAlignment="true" applyProtection="false">
      <alignment horizontal="general" vertical="center" textRotation="0" wrapText="false" indent="0" shrinkToFit="false"/>
      <protection locked="true" hidden="false"/>
    </xf>
    <xf numFmtId="170" fontId="15" fillId="6" borderId="1" xfId="0" applyFont="true" applyBorder="true" applyAlignment="true" applyProtection="false">
      <alignment horizontal="general" vertical="center" textRotation="0" wrapText="false" indent="0" shrinkToFit="false"/>
      <protection locked="true" hidden="false"/>
    </xf>
    <xf numFmtId="170" fontId="15" fillId="4" borderId="1" xfId="0" applyFont="true" applyBorder="true" applyAlignment="true" applyProtection="false">
      <alignment horizontal="general" vertical="center" textRotation="0" wrapText="false" indent="0" shrinkToFit="false"/>
      <protection locked="true" hidden="false"/>
    </xf>
    <xf numFmtId="174" fontId="15" fillId="6" borderId="1" xfId="0" applyFont="true" applyBorder="true" applyAlignment="true" applyProtection="false">
      <alignment horizontal="general" vertical="center" textRotation="0" wrapText="false" indent="0" shrinkToFit="false"/>
      <protection locked="true" hidden="false"/>
    </xf>
    <xf numFmtId="171" fontId="15" fillId="4" borderId="1" xfId="0" applyFont="true" applyBorder="true" applyAlignment="true" applyProtection="false">
      <alignment horizontal="general" vertical="center" textRotation="0" wrapText="false" indent="0" shrinkToFit="false"/>
      <protection locked="true" hidden="false"/>
    </xf>
    <xf numFmtId="164" fontId="15" fillId="4" borderId="1" xfId="0" applyFont="true" applyBorder="true" applyAlignment="true" applyProtection="false">
      <alignment horizontal="general" vertical="center" textRotation="0" wrapText="false" indent="0" shrinkToFit="false"/>
      <protection locked="true" hidden="false"/>
    </xf>
    <xf numFmtId="167" fontId="15" fillId="4" borderId="1" xfId="0" applyFont="true" applyBorder="true" applyAlignment="true" applyProtection="false">
      <alignment horizontal="general" vertical="center" textRotation="0" wrapText="false" indent="0" shrinkToFit="false"/>
      <protection locked="true" hidden="false"/>
    </xf>
    <xf numFmtId="164" fontId="7" fillId="4" borderId="1" xfId="0" applyFont="true" applyBorder="true" applyAlignment="true" applyProtection="false">
      <alignment horizontal="general" vertical="center" textRotation="0" wrapText="true" indent="0" shrinkToFit="false"/>
      <protection locked="true" hidden="false"/>
    </xf>
    <xf numFmtId="169" fontId="15" fillId="4" borderId="1" xfId="0" applyFont="true" applyBorder="true" applyAlignment="true" applyProtection="false">
      <alignment horizontal="general" vertical="center" textRotation="0" wrapText="false" indent="0" shrinkToFit="false"/>
      <protection locked="true" hidden="false"/>
    </xf>
    <xf numFmtId="164" fontId="7" fillId="4" borderId="1" xfId="0" applyFont="true" applyBorder="true" applyAlignment="true" applyProtection="false">
      <alignment horizontal="general" vertical="center" textRotation="0" wrapText="false" indent="0" shrinkToFit="false"/>
      <protection locked="true" hidden="false"/>
    </xf>
    <xf numFmtId="164" fontId="15" fillId="4" borderId="1" xfId="0" applyFont="true" applyBorder="true" applyAlignment="true" applyProtection="false">
      <alignment horizontal="general" vertical="center" textRotation="0" wrapText="true" indent="0" shrinkToFit="false"/>
      <protection locked="true" hidden="false"/>
    </xf>
    <xf numFmtId="168" fontId="15" fillId="6" borderId="1" xfId="0" applyFont="true" applyBorder="true" applyAlignment="true" applyProtection="false">
      <alignment horizontal="general" vertical="center" textRotation="0" wrapText="false" indent="0" shrinkToFit="false"/>
      <protection locked="true" hidden="false"/>
    </xf>
    <xf numFmtId="176" fontId="15" fillId="6" borderId="1" xfId="0" applyFont="true" applyBorder="true" applyAlignment="true" applyProtection="false">
      <alignment horizontal="general" vertical="center" textRotation="0" wrapText="true" indent="0" shrinkToFit="false"/>
      <protection locked="true" hidden="false"/>
    </xf>
    <xf numFmtId="168" fontId="15" fillId="4" borderId="1" xfId="0" applyFont="true" applyBorder="true" applyAlignment="true" applyProtection="false">
      <alignment horizontal="general"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xf numFmtId="164" fontId="1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A9D08E"/>
        </patternFill>
      </fill>
    </dxf>
    <dxf>
      <fill>
        <patternFill>
          <bgColor rgb="FFFF7C80"/>
        </patternFill>
      </fill>
    </dxf>
    <dxf>
      <fill>
        <patternFill>
          <bgColor rgb="FFF4B183"/>
        </patternFill>
      </fill>
    </dxf>
    <dxf>
      <fill>
        <patternFill>
          <bgColor rgb="FFFFE69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7C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E699"/>
      <rgbColor rgb="FFA9D08E"/>
      <rgbColor rgb="FFFF99CC"/>
      <rgbColor rgb="FFCC99FF"/>
      <rgbColor rgb="FFF4B183"/>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V51"/>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3" min="3" style="0" width="22"/>
    <col collapsed="false" customWidth="true" hidden="false" outlineLevel="0" max="4" min="4" style="0" width="30"/>
    <col collapsed="false" customWidth="true" hidden="false" outlineLevel="0" max="5" min="5" style="0" width="2"/>
    <col collapsed="false" customWidth="true" hidden="false" outlineLevel="0" max="6" min="6" style="0" width="34"/>
    <col collapsed="false" customWidth="true" hidden="false" outlineLevel="0" max="7" min="7" style="0" width="12"/>
    <col collapsed="false" customWidth="true" hidden="false" outlineLevel="0" max="8" min="8" style="0" width="24"/>
    <col collapsed="false" customWidth="true" hidden="false" outlineLevel="0" max="9" min="9" style="0" width="16"/>
    <col collapsed="false" customWidth="true" hidden="false" outlineLevel="0" max="10" min="10" style="0" width="14"/>
    <col collapsed="false" customWidth="true" hidden="false" outlineLevel="0" max="11" min="11" style="0" width="10"/>
    <col collapsed="false" customWidth="true" hidden="false" outlineLevel="0" max="13" min="12" style="0" width="14"/>
    <col collapsed="false" customWidth="true" hidden="false" outlineLevel="0" max="14" min="14" style="0" width="10"/>
    <col collapsed="false" customWidth="true" hidden="false" outlineLevel="0" max="22" min="15" style="0" width="12"/>
  </cols>
  <sheetData>
    <row r="1" customFormat="false" ht="19.7" hidden="false" customHeight="false" outlineLevel="0" collapsed="false">
      <c r="B1" s="1" t="s">
        <v>0</v>
      </c>
    </row>
    <row r="2" customFormat="false" ht="15" hidden="false" customHeight="false" outlineLevel="0" collapsed="false">
      <c r="B2" s="2" t="s">
        <v>1</v>
      </c>
    </row>
    <row r="4" customFormat="false" ht="15" hidden="false" customHeight="false" outlineLevel="0" collapsed="false">
      <c r="B4" s="3" t="s">
        <v>2</v>
      </c>
      <c r="C4" s="3"/>
      <c r="D4" s="3"/>
      <c r="F4" s="3" t="s">
        <v>3</v>
      </c>
      <c r="G4" s="3"/>
      <c r="H4" s="3"/>
      <c r="I4" s="3"/>
      <c r="J4" s="3"/>
    </row>
    <row r="5" customFormat="false" ht="30" hidden="false" customHeight="true" outlineLevel="0" collapsed="false">
      <c r="B5" s="4" t="s">
        <v>4</v>
      </c>
      <c r="C5" s="5" t="s">
        <v>5</v>
      </c>
      <c r="D5" s="6" t="s">
        <v>6</v>
      </c>
      <c r="F5" s="4" t="s">
        <v>7</v>
      </c>
      <c r="G5" s="7" t="str">
        <f aca="false">IF($C$5="","",IFERROR(INDEX($H$17:$H$19,MATCH($C$7,$F$17:$F$19,0)),"—"))</f>
        <v>Zone 1</v>
      </c>
      <c r="H5" s="7"/>
      <c r="I5" s="7"/>
      <c r="J5" s="7"/>
    </row>
    <row r="6" customFormat="false" ht="27.75" hidden="false" customHeight="true" outlineLevel="0" collapsed="false">
      <c r="B6" s="4" t="s">
        <v>8</v>
      </c>
      <c r="C6" s="8" t="n">
        <v>25</v>
      </c>
      <c r="D6" s="9" t="str">
        <f aca="false">IF($C$5="","",IF($C$27="Gas","kg of gas in the system/cylinder","litres of liquid (spill / open quantity)"))</f>
        <v>litres of liquid (spill / open quantity)</v>
      </c>
      <c r="G6" s="10" t="s">
        <v>9</v>
      </c>
      <c r="H6" s="10"/>
      <c r="I6" s="11" t="s">
        <v>10</v>
      </c>
      <c r="J6" s="11" t="s">
        <v>11</v>
      </c>
    </row>
    <row r="7" customFormat="false" ht="30" hidden="false" customHeight="true" outlineLevel="0" collapsed="false">
      <c r="B7" s="4" t="s">
        <v>12</v>
      </c>
      <c r="C7" s="5" t="s">
        <v>13</v>
      </c>
      <c r="D7" s="6" t="s">
        <v>14</v>
      </c>
      <c r="F7" s="4" t="s">
        <v>15</v>
      </c>
      <c r="G7" s="12" t="str">
        <f aca="false">IF($C$5="","",IFERROR(INDEX($I$17:$I$19,MATCH($C$7,$F$17:$F$19,0)),"—"))</f>
        <v>Zone 1</v>
      </c>
      <c r="H7" s="12"/>
      <c r="I7" s="13" t="n">
        <f aca="false">IF($C$5="","",IFERROR(INDEX($J$17:$J$19,MATCH($C$7,$F$17:$F$19,0)),"—"))</f>
        <v>3.5</v>
      </c>
      <c r="J7" s="14" t="str">
        <f aca="false">IF($C$5="","",IFERROR(INDEX($K$17:$K$19,MATCH($C$7,$F$17:$F$19,0)),"—"))</f>
        <v>Gb</v>
      </c>
    </row>
    <row r="8" customFormat="false" ht="30" hidden="false" customHeight="true" outlineLevel="0" collapsed="false">
      <c r="B8" s="4" t="s">
        <v>16</v>
      </c>
      <c r="C8" s="5" t="s">
        <v>17</v>
      </c>
      <c r="F8" s="4" t="s">
        <v>18</v>
      </c>
      <c r="G8" s="12" t="str">
        <f aca="false">IF($C$5="","",IFERROR(INDEX($L$17:$L$19,MATCH($C$7,$F$17:$F$19,0)),"—"))</f>
        <v>—</v>
      </c>
      <c r="H8" s="12"/>
      <c r="I8" s="13" t="str">
        <f aca="false">IF($C$5="","",IFERROR(INDEX($M$17:$M$19,MATCH($C$7,$F$17:$F$19,0)),"—"))</f>
        <v>—</v>
      </c>
      <c r="J8" s="14" t="str">
        <f aca="false">IF($C$5="","",IFERROR(INDEX($N$17:$N$19,MATCH($C$7,$F$17:$F$19,0)),"—"))</f>
        <v>—</v>
      </c>
    </row>
    <row r="9" customFormat="false" ht="15" hidden="false" customHeight="false" outlineLevel="0" collapsed="false">
      <c r="B9" s="4" t="s">
        <v>19</v>
      </c>
      <c r="C9" s="15" t="n">
        <v>20</v>
      </c>
      <c r="D9" s="6" t="s">
        <v>20</v>
      </c>
      <c r="F9" s="4" t="s">
        <v>21</v>
      </c>
      <c r="G9" s="16" t="str">
        <f aca="false">IF($C$5="","",IFERROR(IF(AND(LEFT($J$7,1)&lt;&gt;"G",LEFT($J$8,1)&lt;&gt;"G"),"—",$C$35&amp;" "&amp;INDEX(Tables!$B$31:$B$37,MATCH($C$34-0.001,Tables!$A$31:$A$37,1))),"—"))</f>
        <v>IIA T1</v>
      </c>
      <c r="H9" s="16"/>
      <c r="I9" s="16"/>
      <c r="J9" s="16"/>
    </row>
    <row r="10" customFormat="false" ht="15" hidden="false" customHeight="false" outlineLevel="0" collapsed="false">
      <c r="B10" s="4" t="s">
        <v>22</v>
      </c>
      <c r="C10" s="15" t="n">
        <v>10</v>
      </c>
      <c r="D10" s="6" t="s">
        <v>23</v>
      </c>
      <c r="F10" s="4" t="s">
        <v>24</v>
      </c>
      <c r="G10" s="16" t="str">
        <f aca="false">IF($C$5="","",IFERROR(INDEX($O$17:$O$19,MATCH($C$7,$F$17:$F$19,0)),"—"))</f>
        <v>Medium</v>
      </c>
      <c r="H10" s="16"/>
      <c r="I10" s="16"/>
      <c r="J10" s="16"/>
    </row>
    <row r="11" customFormat="false" ht="15" hidden="false" customHeight="false" outlineLevel="0" collapsed="false">
      <c r="B11" s="4" t="s">
        <v>25</v>
      </c>
      <c r="C11" s="17" t="n">
        <v>100</v>
      </c>
      <c r="F11" s="4" t="s">
        <v>26</v>
      </c>
      <c r="G11" s="18" t="str">
        <f aca="false">IF($C$5="","",IFERROR(TEXT($C$45*1000,"0.000")&amp;" g/s — amount released / evaporated in "&amp;TEXT($C$46,"#,##0")&amp;" min","—"))</f>
        <v>0.312 g/s — amount released / evaporated in 1,156 min</v>
      </c>
      <c r="H11" s="18"/>
      <c r="I11" s="18"/>
      <c r="J11" s="18"/>
    </row>
    <row r="12" customFormat="false" ht="49.5" hidden="false" customHeight="true" outlineLevel="0" collapsed="false">
      <c r="B12" s="4" t="s">
        <v>27</v>
      </c>
      <c r="C12" s="15" t="n">
        <v>3</v>
      </c>
      <c r="D12" s="6" t="s">
        <v>28</v>
      </c>
      <c r="F12" s="4" t="s">
        <v>29</v>
      </c>
      <c r="G12" s="19" t="str">
        <f aca="false">IF($C$5="","",TRIM(IF(IF(ISNUMBER($C$50),$C$50&gt;1.2,FALSE()),"Distances apply in all directions from the point of activity, extended down to floor level and the same distance horizontally across the floor. ","Distances are radii in all directions from the point of activity (hemisphere if at floor level). ")&amp;IF(ISNUMBER($I$8),"Outer zone runs from the inner zone boundary out to "&amp;TEXT($I$8,"0.0")&amp;" m. ","")&amp;IF(IF(AND(NOT($C$27="Gas"),ISNUMBER($C$33)),$C$9&lt;$C$33-5,FALSE()),"Handled &gt;5°C below flash point: normally no zone needed unless sprayed, misted or heated — confirm by assessment. ","")&amp;IF(IF(AND(NOT($C$27="Gas"),ISNUMBER($C$32)),$C$9&gt;=$C$32,FALSE()),"Liquid at/above boiling point — pool method underestimates; model as a gas/flashing release on the Gas-Vapour sheet. ","")&amp;IF(IF(ISNUMBER($C$50),$C$50&gt;1.2,FALSE()),"Heavier than air: extend into pits, drains and trenches within the zone. ","")&amp;IF(OR($I$7="Whole room",$I$8="Whole room"),"Whole room: Vz exceeds the room volume — increase ventilation or reduce the quantity to shrink the zone. ","")&amp;IF(AND($C$27="Gas",NOT(ISNUMBER($C$30))),"No γ in library for this gas. ","")))</f>
        <v>Distances apply in all directions from the point of activity, extended down to floor level and the same distance horizontally across the floor. Heavier than air: extend into pits, drains and trenches within the zone.</v>
      </c>
      <c r="H12" s="19"/>
      <c r="I12" s="19"/>
      <c r="J12" s="19"/>
      <c r="K12" s="19"/>
      <c r="L12" s="19"/>
      <c r="M12" s="19"/>
      <c r="N12" s="19"/>
      <c r="O12" s="19"/>
    </row>
    <row r="13" customFormat="false" ht="49.5" hidden="false" customHeight="true" outlineLevel="0" collapsed="false">
      <c r="B13" s="4" t="s">
        <v>30</v>
      </c>
      <c r="C13" s="5" t="s">
        <v>31</v>
      </c>
      <c r="D13" s="6" t="s">
        <v>32</v>
      </c>
      <c r="G13" s="19"/>
      <c r="H13" s="19"/>
      <c r="I13" s="19"/>
      <c r="J13" s="19"/>
      <c r="K13" s="19"/>
      <c r="L13" s="19"/>
      <c r="M13" s="19"/>
      <c r="N13" s="19"/>
      <c r="O13" s="19"/>
    </row>
    <row r="14" customFormat="false" ht="15" hidden="false" customHeight="false" outlineLevel="0" collapsed="false">
      <c r="B14" s="4" t="s">
        <v>33</v>
      </c>
      <c r="C14" s="20" t="n">
        <v>0.5</v>
      </c>
      <c r="D14" s="6" t="s">
        <v>34</v>
      </c>
    </row>
    <row r="15" customFormat="false" ht="15" hidden="false" customHeight="false" outlineLevel="0" collapsed="false">
      <c r="B15" s="3" t="s">
        <v>35</v>
      </c>
      <c r="C15" s="3"/>
      <c r="D15" s="3"/>
      <c r="F15" s="3" t="s">
        <v>36</v>
      </c>
      <c r="G15" s="3"/>
      <c r="H15" s="3"/>
      <c r="I15" s="3"/>
      <c r="J15" s="3"/>
      <c r="K15" s="3"/>
      <c r="L15" s="3"/>
      <c r="M15" s="3"/>
      <c r="N15" s="3"/>
      <c r="O15" s="3"/>
      <c r="P15" s="3"/>
      <c r="Q15" s="3"/>
      <c r="R15" s="3"/>
      <c r="S15" s="3"/>
      <c r="T15" s="3"/>
      <c r="U15" s="3"/>
      <c r="V15" s="3"/>
    </row>
    <row r="16" customFormat="false" ht="31.5" hidden="false" customHeight="true" outlineLevel="0" collapsed="false">
      <c r="B16" s="21" t="s">
        <v>37</v>
      </c>
      <c r="C16" s="22" t="n">
        <v>5</v>
      </c>
      <c r="D16" s="6" t="s">
        <v>38</v>
      </c>
      <c r="F16" s="23" t="s">
        <v>12</v>
      </c>
      <c r="G16" s="23" t="s">
        <v>39</v>
      </c>
      <c r="H16" s="23" t="s">
        <v>40</v>
      </c>
      <c r="I16" s="23" t="s">
        <v>41</v>
      </c>
      <c r="J16" s="23" t="s">
        <v>42</v>
      </c>
      <c r="K16" s="23" t="s">
        <v>43</v>
      </c>
      <c r="L16" s="23" t="s">
        <v>44</v>
      </c>
      <c r="M16" s="23" t="s">
        <v>45</v>
      </c>
      <c r="N16" s="23" t="s">
        <v>46</v>
      </c>
      <c r="O16" s="23" t="s">
        <v>24</v>
      </c>
      <c r="P16" s="23" t="s">
        <v>47</v>
      </c>
      <c r="Q16" s="23" t="s">
        <v>48</v>
      </c>
      <c r="R16" s="23" t="s">
        <v>49</v>
      </c>
      <c r="S16" s="23" t="s">
        <v>50</v>
      </c>
      <c r="T16" s="23" t="s">
        <v>51</v>
      </c>
      <c r="U16" s="23" t="s">
        <v>52</v>
      </c>
      <c r="V16" s="23" t="s">
        <v>53</v>
      </c>
    </row>
    <row r="17" customFormat="false" ht="30" hidden="false" customHeight="true" outlineLevel="0" collapsed="false">
      <c r="B17" s="21" t="s">
        <v>54</v>
      </c>
      <c r="C17" s="22"/>
      <c r="D17" s="6" t="s">
        <v>55</v>
      </c>
      <c r="F17" s="24" t="s">
        <v>56</v>
      </c>
      <c r="G17" s="25" t="s">
        <v>57</v>
      </c>
      <c r="H17" s="26" t="str">
        <f aca="false">IF($C$5="","",IFERROR(INDEX(Tables!$B$22:$J$24,MATCH($G17,Tables!$A$22:$A$24,0),MATCH($O17&amp;"-"&amp;$C$13,Tables!$B$21:$J$21,0)),"—"))</f>
        <v>Zone 2</v>
      </c>
      <c r="I17" s="26" t="str">
        <f aca="false">IF($C$5="","",IFERROR(IF(ISNUMBER(SEARCH("+",$H17)),LEFT($H17,FIND(" + ",$H17)-1),IF(ISNUMBER(FIND("(",$H17)),MID($H17,FIND("(",$H17)+1,FIND(")",$H17)-FIND("(",$H17)-1),$H17)),"—"))</f>
        <v>Zone 2</v>
      </c>
      <c r="J17" s="27" t="n">
        <f aca="false">IF($C$5="","",IFERROR(IF(ISNUMBER(FIND("(",$H17)),"Negligible (NE)",IF(LEFT($H17,3)="Non","—",IF($O17="Low","Whole room",MAX(CEILING($S17,0.5),IF(IF(ISNUMBER($C$50),$C$50&gt;1.2,FALSE()),$C$25,$C$24))))),"—"))</f>
        <v>3</v>
      </c>
      <c r="K17" s="25" t="str">
        <f aca="false">IF($C$5="","",IFERROR(IF($I17="—","—",IF(RIGHT($I17,2)="NE","None (NE)",IF(ISNUMBER(SEARCH("Zone 0",$I17)),"Ga",IF(ISNUMBER(SEARCH("Zone 1",$I17)),"Gb",IF(ISNUMBER(SEARCH("Zone 2",$I17)),"Gc","None"))))),"—"))</f>
        <v>Gc</v>
      </c>
      <c r="L17" s="26" t="str">
        <f aca="false">IF($C$5="","",IFERROR(IF(ISNUMBER(SEARCH("+",$H17)),MID($H17,FIND(" + ",$H17)+3,99),IF(ISNUMBER(FIND("(",$H17)),IF(LEFT($H17,3)="Non","—",LEFT($H17,FIND(" (",$H17)-1)),"—")),"—"))</f>
        <v>—</v>
      </c>
      <c r="M17" s="27" t="str">
        <f aca="false">IF($C$5="","",IFERROR(IF($L17="—","—",IF(AND($C$8="Indoor",$T17&gt;=$C$11),"Whole room",MAX(CEILING($U17,0.5),IF(IF(ISNUMBER($C$50),$C$50&gt;1.2,FALSE()),$C$25,$C$24),IF(ISNUMBER($J17),$J17+0.5,0)))),"—"))</f>
        <v>—</v>
      </c>
      <c r="N17" s="25" t="str">
        <f aca="false">IF($C$5="","",IFERROR(IF($L17="—","—",IF(RIGHT($L17,2)="NE","None (NE)",IF(ISNUMBER(SEARCH("Zone 0",$L17)),"Ga",IF(ISNUMBER(SEARCH("Zone 1",$L17)),"Gb",IF(ISNUMBER(SEARCH("Zone 2",$L17)),"Gc","None"))))),"—"))</f>
        <v>—</v>
      </c>
      <c r="O17" s="25" t="str">
        <f aca="false">IF($C$5="","",IFERROR(IF($R17&lt;Tables!$B$7,"High",IF($C$8="Outdoor","Medium",IF($R17&lt;$C$11,"Medium","Low"))),"—"))</f>
        <v>Medium</v>
      </c>
      <c r="P17" s="28" t="n">
        <f aca="false">IF($C$5="","",IFERROR(INDEX(Tables!$B$15:$B$17,MATCH($G17,Tables!$A$15:$A$17,0)),"—"))</f>
        <v>0.5</v>
      </c>
      <c r="Q17" s="29" t="n">
        <f aca="false">IF($C$5="","",IFERROR($C$45/($P17*$C$47)*$C$39/Tables!$B$9,"—"))</f>
        <v>0.0163136868226321</v>
      </c>
      <c r="R17" s="30" t="n">
        <f aca="false">IF($C$5="","",IFERROR($C$48*$Q17/$C$49,"—"))</f>
        <v>39.1528483743171</v>
      </c>
      <c r="S17" s="28" t="n">
        <f aca="false">IF($C$5="","",IFERROR((3*$R17/(2*PI()))^(1/3),"—"))</f>
        <v>2.6540040603837</v>
      </c>
      <c r="T17" s="30" t="n">
        <f aca="false">IF($C$5="","",IFERROR($C$48*$Q17/$C$51,"—"))</f>
        <v>234.917090245903</v>
      </c>
      <c r="U17" s="28" t="n">
        <f aca="false">IF($C$5="","",IFERROR((3*$T17/(2*PI()))^(1/3),"—"))</f>
        <v>4.82264543158333</v>
      </c>
      <c r="V17" s="31" t="n">
        <f aca="false">IF($C$5="","",IFERROR(-$C$48/$C$49*LN($C$29*$P17/Tables!$B$6)/60,"—"))</f>
        <v>211.932694661921</v>
      </c>
    </row>
    <row r="18" customFormat="false" ht="30" hidden="false" customHeight="true" outlineLevel="0" collapsed="false">
      <c r="B18" s="21" t="s">
        <v>58</v>
      </c>
      <c r="C18" s="22" t="n">
        <v>0.3</v>
      </c>
      <c r="F18" s="24" t="s">
        <v>13</v>
      </c>
      <c r="G18" s="25" t="s">
        <v>59</v>
      </c>
      <c r="H18" s="26" t="str">
        <f aca="false">IF($C$5="","",IFERROR(INDEX(Tables!$B$22:$J$24,MATCH($G18,Tables!$A$22:$A$24,0),MATCH($O18&amp;"-"&amp;$C$13,Tables!$B$21:$J$21,0)),"—"))</f>
        <v>Zone 1</v>
      </c>
      <c r="I18" s="26" t="str">
        <f aca="false">IF($C$5="","",IFERROR(IF(ISNUMBER(SEARCH("+",$H18)),LEFT($H18,FIND(" + ",$H18)-1),IF(ISNUMBER(FIND("(",$H18)),MID($H18,FIND("(",$H18)+1,FIND(")",$H18)-FIND("(",$H18)-1),$H18)),"—"))</f>
        <v>Zone 1</v>
      </c>
      <c r="J18" s="27" t="n">
        <f aca="false">IF($C$5="","",IFERROR(IF(ISNUMBER(FIND("(",$H18)),"Negligible (NE)",IF(LEFT($H18,3)="Non","—",IF($O18="Low","Whole room",MAX(CEILING($S18,0.5),IF(IF(ISNUMBER($C$50),$C$50&gt;1.2,FALSE()),$C$25,$C$24))))),"—"))</f>
        <v>3.5</v>
      </c>
      <c r="K18" s="25" t="str">
        <f aca="false">IF($C$5="","",IFERROR(IF($I18="—","—",IF(RIGHT($I18,2)="NE","None (NE)",IF(ISNUMBER(SEARCH("Zone 0",$I18)),"Ga",IF(ISNUMBER(SEARCH("Zone 1",$I18)),"Gb",IF(ISNUMBER(SEARCH("Zone 2",$I18)),"Gc","None"))))),"—"))</f>
        <v>Gb</v>
      </c>
      <c r="L18" s="26" t="str">
        <f aca="false">IF($C$5="","",IFERROR(IF(ISNUMBER(SEARCH("+",$H18)),MID($H18,FIND(" + ",$H18)+3,99),IF(ISNUMBER(FIND("(",$H18)),IF(LEFT($H18,3)="Non","—",LEFT($H18,FIND(" (",$H18)-1)),"—")),"—"))</f>
        <v>—</v>
      </c>
      <c r="M18" s="27" t="str">
        <f aca="false">IF($C$5="","",IFERROR(IF($L18="—","—",IF(AND($C$8="Indoor",$T18&gt;=$C$11),"Whole room",MAX(CEILING($U18,0.5),IF(IF(ISNUMBER($C$50),$C$50&gt;1.2,FALSE()),$C$25,$C$24),IF(ISNUMBER($J18),$J18+0.5,0)))),"—"))</f>
        <v>—</v>
      </c>
      <c r="N18" s="25" t="str">
        <f aca="false">IF($C$5="","",IFERROR(IF($L18="—","—",IF(RIGHT($L18,2)="NE","None (NE)",IF(ISNUMBER(SEARCH("Zone 0",$L18)),"Ga",IF(ISNUMBER(SEARCH("Zone 1",$L18)),"Gb",IF(ISNUMBER(SEARCH("Zone 2",$L18)),"Gc","None"))))),"—"))</f>
        <v>—</v>
      </c>
      <c r="O18" s="25" t="str">
        <f aca="false">IF($C$5="","",IFERROR(IF($R18&lt;Tables!$B$7,"High",IF($C$8="Outdoor","Medium",IF($R18&lt;$C$11,"Medium","Low"))),"—"))</f>
        <v>Medium</v>
      </c>
      <c r="P18" s="28" t="n">
        <f aca="false">IF($C$5="","",IFERROR(INDEX(Tables!$B$15:$B$17,MATCH($G18,Tables!$A$15:$A$17,0)),"—"))</f>
        <v>0.25</v>
      </c>
      <c r="Q18" s="29" t="n">
        <f aca="false">IF($C$5="","",IFERROR($C$45/($P18*$C$47)*$C$39/Tables!$B$9,"—"))</f>
        <v>0.0326273736452642</v>
      </c>
      <c r="R18" s="30" t="n">
        <f aca="false">IF($C$5="","",IFERROR($C$48*$Q18/$C$49,"—"))</f>
        <v>78.3056967486342</v>
      </c>
      <c r="S18" s="28" t="n">
        <f aca="false">IF($C$5="","",IFERROR((3*$R18/(2*PI()))^(1/3),"—"))</f>
        <v>3.34383558218389</v>
      </c>
      <c r="T18" s="30" t="n">
        <f aca="false">IF($C$5="","",IFERROR($C$48*$Q18/$C$51,"—"))</f>
        <v>469.834180491805</v>
      </c>
      <c r="U18" s="28" t="n">
        <f aca="false">IF($C$5="","",IFERROR((3*$T18/(2*PI()))^(1/3),"—"))</f>
        <v>6.07615249543118</v>
      </c>
      <c r="V18" s="31" t="n">
        <f aca="false">IF($C$5="","",IFERROR(-$C$48/$C$49*LN($C$29*$P18/Tables!$B$6)/60,"—"))</f>
        <v>239.658581884319</v>
      </c>
    </row>
    <row r="19" customFormat="false" ht="30" hidden="false" customHeight="true" outlineLevel="0" collapsed="false">
      <c r="B19" s="21" t="s">
        <v>60</v>
      </c>
      <c r="C19" s="22" t="n">
        <v>0.5</v>
      </c>
      <c r="F19" s="24" t="s">
        <v>61</v>
      </c>
      <c r="G19" s="25" t="s">
        <v>62</v>
      </c>
      <c r="H19" s="26" t="str">
        <f aca="false">IF($C$5="","",IFERROR(INDEX(Tables!$B$22:$J$24,MATCH($G19,Tables!$A$22:$A$24,0),MATCH($O19&amp;"-"&amp;$C$13,Tables!$B$21:$J$21,0)),"—"))</f>
        <v>Zone 0</v>
      </c>
      <c r="I19" s="26" t="str">
        <f aca="false">IF($C$5="","",IFERROR(IF(ISNUMBER(SEARCH("+",$H19)),LEFT($H19,FIND(" + ",$H19)-1),IF(ISNUMBER(FIND("(",$H19)),MID($H19,FIND("(",$H19)+1,FIND(")",$H19)-FIND("(",$H19)-1),$H19)),"—"))</f>
        <v>Zone 0</v>
      </c>
      <c r="J19" s="27" t="n">
        <f aca="false">IF($C$5="","",IFERROR(IF(ISNUMBER(FIND("(",$H19)),"Negligible (NE)",IF(LEFT($H19,3)="Non","—",IF($O19="Low","Whole room",MAX(CEILING($S19,0.5),IF(IF(ISNUMBER($C$50),$C$50&gt;1.2,FALSE()),$C$25,$C$24))))),"—"))</f>
        <v>3.5</v>
      </c>
      <c r="K19" s="25" t="str">
        <f aca="false">IF($C$5="","",IFERROR(IF($I19="—","—",IF(RIGHT($I19,2)="NE","None (NE)",IF(ISNUMBER(SEARCH("Zone 0",$I19)),"Ga",IF(ISNUMBER(SEARCH("Zone 1",$I19)),"Gb",IF(ISNUMBER(SEARCH("Zone 2",$I19)),"Gc","None"))))),"—"))</f>
        <v>Ga</v>
      </c>
      <c r="L19" s="26" t="str">
        <f aca="false">IF($C$5="","",IFERROR(IF(ISNUMBER(SEARCH("+",$H19)),MID($H19,FIND(" + ",$H19)+3,99),IF(ISNUMBER(FIND("(",$H19)),IF(LEFT($H19,3)="Non","—",LEFT($H19,FIND(" (",$H19)-1)),"—")),"—"))</f>
        <v>—</v>
      </c>
      <c r="M19" s="27" t="str">
        <f aca="false">IF($C$5="","",IFERROR(IF($L19="—","—",IF(AND($C$8="Indoor",$T19&gt;=$C$11),"Whole room",MAX(CEILING($U19,0.5),IF(IF(ISNUMBER($C$50),$C$50&gt;1.2,FALSE()),$C$25,$C$24),IF(ISNUMBER($J19),$J19+0.5,0)))),"—"))</f>
        <v>—</v>
      </c>
      <c r="N19" s="25" t="str">
        <f aca="false">IF($C$5="","",IFERROR(IF($L19="—","—",IF(RIGHT($L19,2)="NE","None (NE)",IF(ISNUMBER(SEARCH("Zone 0",$L19)),"Ga",IF(ISNUMBER(SEARCH("Zone 1",$L19)),"Gb",IF(ISNUMBER(SEARCH("Zone 2",$L19)),"Gc","None"))))),"—"))</f>
        <v>—</v>
      </c>
      <c r="O19" s="25" t="str">
        <f aca="false">IF($C$5="","",IFERROR(IF($R19&lt;Tables!$B$7,"High",IF($C$8="Outdoor","Medium",IF($R19&lt;$C$11,"Medium","Low"))),"—"))</f>
        <v>Medium</v>
      </c>
      <c r="P19" s="28" t="n">
        <f aca="false">IF($C$5="","",IFERROR(INDEX(Tables!$B$15:$B$17,MATCH($G19,Tables!$A$15:$A$17,0)),"—"))</f>
        <v>0.25</v>
      </c>
      <c r="Q19" s="29" t="n">
        <f aca="false">IF($C$5="","",IFERROR($C$45/($P19*$C$47)*$C$39/Tables!$B$9,"—"))</f>
        <v>0.0326273736452642</v>
      </c>
      <c r="R19" s="30" t="n">
        <f aca="false">IF($C$5="","",IFERROR($C$48*$Q19/$C$49,"—"))</f>
        <v>78.3056967486342</v>
      </c>
      <c r="S19" s="28" t="n">
        <f aca="false">IF($C$5="","",IFERROR((3*$R19/(2*PI()))^(1/3),"—"))</f>
        <v>3.34383558218389</v>
      </c>
      <c r="T19" s="30" t="n">
        <f aca="false">IF($C$5="","",IFERROR($C$48*$Q19/$C$51,"—"))</f>
        <v>469.834180491805</v>
      </c>
      <c r="U19" s="28" t="n">
        <f aca="false">IF($C$5="","",IFERROR((3*$T19/(2*PI()))^(1/3),"—"))</f>
        <v>6.07615249543118</v>
      </c>
      <c r="V19" s="31" t="n">
        <f aca="false">IF($C$5="","",IFERROR(-$C$48/$C$49*LN($C$29*$P19/Tables!$B$6)/60,"—"))</f>
        <v>239.658581884319</v>
      </c>
    </row>
    <row r="20" customFormat="false" ht="21.75" hidden="false" customHeight="true" outlineLevel="0" collapsed="false">
      <c r="B20" s="21" t="s">
        <v>63</v>
      </c>
      <c r="C20" s="22" t="n">
        <v>2</v>
      </c>
      <c r="D20" s="6" t="s">
        <v>64</v>
      </c>
      <c r="F20" s="32" t="s">
        <v>65</v>
      </c>
      <c r="G20" s="32"/>
      <c r="H20" s="32"/>
      <c r="I20" s="32"/>
      <c r="J20" s="32"/>
      <c r="K20" s="32"/>
      <c r="L20" s="32"/>
      <c r="M20" s="32"/>
      <c r="N20" s="32"/>
      <c r="O20" s="32"/>
      <c r="P20" s="32"/>
      <c r="Q20" s="32"/>
      <c r="R20" s="32"/>
      <c r="S20" s="32"/>
      <c r="T20" s="32"/>
      <c r="U20" s="32"/>
      <c r="V20" s="32"/>
    </row>
    <row r="21" customFormat="false" ht="21.75" hidden="false" customHeight="true" outlineLevel="0" collapsed="false">
      <c r="B21" s="21" t="s">
        <v>66</v>
      </c>
      <c r="C21" s="22" t="n">
        <v>1</v>
      </c>
      <c r="F21" s="32"/>
      <c r="G21" s="32"/>
      <c r="H21" s="32"/>
      <c r="I21" s="32"/>
      <c r="J21" s="32"/>
      <c r="K21" s="32"/>
      <c r="L21" s="32"/>
      <c r="M21" s="32"/>
      <c r="N21" s="32"/>
      <c r="O21" s="32"/>
      <c r="P21" s="32"/>
      <c r="Q21" s="32"/>
      <c r="R21" s="32"/>
      <c r="S21" s="32"/>
      <c r="T21" s="32"/>
      <c r="U21" s="32"/>
      <c r="V21" s="32"/>
    </row>
    <row r="22" customFormat="false" ht="15" hidden="false" customHeight="false" outlineLevel="0" collapsed="false">
      <c r="B22" s="21" t="s">
        <v>67</v>
      </c>
      <c r="C22" s="22" t="n">
        <v>0.25</v>
      </c>
      <c r="D22" s="6" t="s">
        <v>68</v>
      </c>
    </row>
    <row r="23" customFormat="false" ht="15" hidden="false" customHeight="true" outlineLevel="0" collapsed="false">
      <c r="B23" s="21" t="s">
        <v>69</v>
      </c>
      <c r="C23" s="22" t="n">
        <v>0.75</v>
      </c>
      <c r="F23" s="33" t="s">
        <v>70</v>
      </c>
      <c r="G23" s="33"/>
      <c r="H23" s="33"/>
      <c r="I23" s="33"/>
      <c r="J23" s="33"/>
      <c r="K23" s="33"/>
      <c r="L23" s="33"/>
      <c r="M23" s="33"/>
      <c r="N23" s="33"/>
      <c r="O23" s="33"/>
    </row>
    <row r="24" customFormat="false" ht="15" hidden="false" customHeight="false" outlineLevel="0" collapsed="false">
      <c r="B24" s="21" t="s">
        <v>71</v>
      </c>
      <c r="C24" s="22" t="n">
        <v>1</v>
      </c>
      <c r="D24" s="6" t="s">
        <v>72</v>
      </c>
      <c r="F24" s="33"/>
      <c r="G24" s="33"/>
      <c r="H24" s="33"/>
      <c r="I24" s="33"/>
      <c r="J24" s="33"/>
      <c r="K24" s="33"/>
      <c r="L24" s="33"/>
      <c r="M24" s="33"/>
      <c r="N24" s="33"/>
      <c r="O24" s="33"/>
    </row>
    <row r="25" customFormat="false" ht="15" hidden="false" customHeight="false" outlineLevel="0" collapsed="false">
      <c r="B25" s="21" t="s">
        <v>73</v>
      </c>
      <c r="C25" s="22" t="n">
        <v>1.5</v>
      </c>
      <c r="D25" s="6" t="s">
        <v>74</v>
      </c>
      <c r="F25" s="33"/>
      <c r="G25" s="33"/>
      <c r="H25" s="33"/>
      <c r="I25" s="33"/>
      <c r="J25" s="33"/>
      <c r="K25" s="33"/>
      <c r="L25" s="33"/>
      <c r="M25" s="33"/>
      <c r="N25" s="33"/>
      <c r="O25" s="33"/>
    </row>
    <row r="26" customFormat="false" ht="15" hidden="false" customHeight="false" outlineLevel="0" collapsed="false">
      <c r="B26" s="3" t="s">
        <v>75</v>
      </c>
      <c r="C26" s="3"/>
      <c r="D26" s="3"/>
    </row>
    <row r="27" customFormat="false" ht="15" hidden="false" customHeight="false" outlineLevel="0" collapsed="false">
      <c r="B27" s="34" t="s">
        <v>76</v>
      </c>
      <c r="C27" s="35" t="str">
        <f aca="false">IF($C$5="","",IFERROR(IF(INDEX(Substances!$B$2:$B$60,MATCH($C$5,Substances!$A$2:$A$60,0))="","",INDEX(Substances!$B$2:$B$60,MATCH($C$5,Substances!$A$2:$A$60,0))),"—"))</f>
        <v>Liquid</v>
      </c>
    </row>
    <row r="28" customFormat="false" ht="15" hidden="false" customHeight="false" outlineLevel="0" collapsed="false">
      <c r="B28" s="34" t="s">
        <v>77</v>
      </c>
      <c r="C28" s="36" t="n">
        <f aca="false">IF($C$5="","",IFERROR(IF(INDEX(Substances!$C$2:$C$60,MATCH($C$5,Substances!$A$2:$A$60,0))="","",INDEX(Substances!$C$2:$C$60,MATCH($C$5,Substances!$A$2:$A$60,0))),"—"))</f>
        <v>92.14</v>
      </c>
    </row>
    <row r="29" customFormat="false" ht="15" hidden="false" customHeight="false" outlineLevel="0" collapsed="false">
      <c r="B29" s="34" t="s">
        <v>78</v>
      </c>
      <c r="C29" s="37" t="n">
        <f aca="false">IF($C$5="","",IFERROR(IF(INDEX(Substances!$D$2:$D$60,MATCH($C$5,Substances!$A$2:$A$60,0))="","",INDEX(Substances!$D$2:$D$60,MATCH($C$5,Substances!$A$2:$A$60,0))),"—"))</f>
        <v>1</v>
      </c>
    </row>
    <row r="30" customFormat="false" ht="15" hidden="false" customHeight="false" outlineLevel="0" collapsed="false">
      <c r="B30" s="34" t="s">
        <v>79</v>
      </c>
      <c r="C30" s="36" t="str">
        <f aca="false">IF($C$5="","",IFERROR(IF(INDEX(Substances!$F$2:$F$60,MATCH($C$5,Substances!$A$2:$A$60,0))="","",INDEX(Substances!$F$2:$F$60,MATCH($C$5,Substances!$A$2:$A$60,0))),"—"))</f>
        <v/>
      </c>
    </row>
    <row r="31" customFormat="false" ht="15" hidden="false" customHeight="false" outlineLevel="0" collapsed="false">
      <c r="B31" s="34" t="s">
        <v>80</v>
      </c>
      <c r="C31" s="38" t="n">
        <f aca="false">IF($C$5="","",IFERROR(IF(INDEX(Substances!$G$2:$G$60,MATCH($C$5,Substances!$A$2:$A$60,0))="","",INDEX(Substances!$G$2:$G$60,MATCH($C$5,Substances!$A$2:$A$60,0))),"—"))</f>
        <v>867</v>
      </c>
    </row>
    <row r="32" customFormat="false" ht="15" hidden="false" customHeight="false" outlineLevel="0" collapsed="false">
      <c r="B32" s="34" t="s">
        <v>81</v>
      </c>
      <c r="C32" s="37" t="n">
        <f aca="false">IF($C$5="","",IFERROR(IF(INDEX(Substances!$H$2:$H$60,MATCH($C$5,Substances!$A$2:$A$60,0))="","",INDEX(Substances!$H$2:$H$60,MATCH($C$5,Substances!$A$2:$A$60,0))),"—"))</f>
        <v>110.6</v>
      </c>
    </row>
    <row r="33" customFormat="false" ht="15" hidden="false" customHeight="false" outlineLevel="0" collapsed="false">
      <c r="B33" s="34" t="s">
        <v>82</v>
      </c>
      <c r="C33" s="38" t="n">
        <f aca="false">IF($C$5="","",IFERROR(IF(INDEX(Substances!$I$2:$I$60,MATCH($C$5,Substances!$A$2:$A$60,0))="","",INDEX(Substances!$I$2:$I$60,MATCH($C$5,Substances!$A$2:$A$60,0))),"—"))</f>
        <v>4</v>
      </c>
    </row>
    <row r="34" customFormat="false" ht="15" hidden="false" customHeight="false" outlineLevel="0" collapsed="false">
      <c r="B34" s="34" t="s">
        <v>83</v>
      </c>
      <c r="C34" s="38" t="n">
        <f aca="false">IF($C$5="","",IFERROR(IF(INDEX(Substances!$J$2:$J$60,MATCH($C$5,Substances!$A$2:$A$60,0))="","",INDEX(Substances!$J$2:$J$60,MATCH($C$5,Substances!$A$2:$A$60,0))),"—"))</f>
        <v>480</v>
      </c>
    </row>
    <row r="35" customFormat="false" ht="15" hidden="false" customHeight="false" outlineLevel="0" collapsed="false">
      <c r="B35" s="34" t="s">
        <v>84</v>
      </c>
      <c r="C35" s="35" t="str">
        <f aca="false">IF($C$5="","",IFERROR(IF(INDEX(Substances!$K$2:$K$60,MATCH($C$5,Substances!$A$2:$A$60,0))="","",INDEX(Substances!$K$2:$K$60,MATCH($C$5,Substances!$A$2:$A$60,0))),"—"))</f>
        <v>IIA</v>
      </c>
    </row>
    <row r="36" customFormat="false" ht="15" hidden="false" customHeight="false" outlineLevel="0" collapsed="false">
      <c r="B36" s="34" t="s">
        <v>85</v>
      </c>
      <c r="C36" s="35" t="n">
        <f aca="false">IF($C$5="","",IFERROR(IF(INDEX(Substances!$L$2:$L$60,MATCH($C$5,Substances!$A$2:$A$60,0))="","",INDEX(Substances!$L$2:$L$60,MATCH($C$5,Substances!$A$2:$A$60,0))),"—"))</f>
        <v>6.95464</v>
      </c>
    </row>
    <row r="37" customFormat="false" ht="15" hidden="false" customHeight="false" outlineLevel="0" collapsed="false">
      <c r="B37" s="34" t="s">
        <v>86</v>
      </c>
      <c r="C37" s="35" t="n">
        <f aca="false">IF($C$5="","",IFERROR(IF(INDEX(Substances!$M$2:$M$60,MATCH($C$5,Substances!$A$2:$A$60,0))="","",INDEX(Substances!$M$2:$M$60,MATCH($C$5,Substances!$A$2:$A$60,0))),"—"))</f>
        <v>1344.8</v>
      </c>
    </row>
    <row r="38" customFormat="false" ht="15" hidden="false" customHeight="false" outlineLevel="0" collapsed="false">
      <c r="B38" s="34" t="s">
        <v>87</v>
      </c>
      <c r="C38" s="35" t="n">
        <f aca="false">IF($C$5="","",IFERROR(IF(INDEX(Substances!$N$2:$N$60,MATCH($C$5,Substances!$A$2:$A$60,0))="","",INDEX(Substances!$N$2:$N$60,MATCH($C$5,Substances!$A$2:$A$60,0))),"—"))</f>
        <v>219.482</v>
      </c>
    </row>
    <row r="39" customFormat="false" ht="15" hidden="false" customHeight="false" outlineLevel="0" collapsed="false">
      <c r="B39" s="34" t="s">
        <v>88</v>
      </c>
      <c r="C39" s="39" t="n">
        <f aca="false">IF($C$5="","",IFERROR($C$9+273.15,"—"))</f>
        <v>293.15</v>
      </c>
    </row>
    <row r="40" customFormat="false" ht="15" hidden="false" customHeight="false" outlineLevel="0" collapsed="false">
      <c r="B40" s="34" t="s">
        <v>89</v>
      </c>
      <c r="C40" s="40" t="n">
        <f aca="false">IF($C$5="","",IFERROR(IF($C$27="Gas","n/a",MIN(101.325,IF(N($C$36)&lt;&gt;0,0.133322*10^($C$36-$C$37/($C$38+$C$9)),101.325*EXP(10.58*(1-($C$32+273.15)/$C$39))))),"—"))</f>
        <v>2.91131009645929</v>
      </c>
    </row>
    <row r="41" customFormat="false" ht="15" hidden="false" customHeight="false" outlineLevel="0" collapsed="false">
      <c r="B41" s="34" t="s">
        <v>90</v>
      </c>
      <c r="C41" s="40" t="n">
        <f aca="false">IF($C$5="","",IFERROR(IF($C$27="Gas","n/a",IF($C$17&lt;&gt;"",MIN($C$17,$C$6/1000/($C$16/1000)),$C$6/1000/($C$16/1000))),"—"))</f>
        <v>5</v>
      </c>
    </row>
    <row r="42" customFormat="false" ht="15" hidden="false" customHeight="false" outlineLevel="0" collapsed="false">
      <c r="B42" s="34" t="s">
        <v>91</v>
      </c>
      <c r="C42" s="40" t="n">
        <f aca="false">IF($C$5="","",IFERROR(IF($C$8="Outdoor",$C$19,$C$18),"—"))</f>
        <v>0.3</v>
      </c>
    </row>
    <row r="43" customFormat="false" ht="15" hidden="false" customHeight="false" outlineLevel="0" collapsed="false">
      <c r="B43" s="34" t="s">
        <v>92</v>
      </c>
      <c r="C43" s="41" t="str">
        <f aca="false">IF($C$5="","",IFERROR(IF($C$27="Gas",$C$10*100000+Tables!$B$4,"n/a"),"—"))</f>
        <v>n/a</v>
      </c>
    </row>
    <row r="44" customFormat="false" ht="15" hidden="false" customHeight="false" outlineLevel="0" collapsed="false">
      <c r="B44" s="34" t="s">
        <v>93</v>
      </c>
      <c r="C44" s="41" t="str">
        <f aca="false">IF($C$5="","",IFERROR(IF($C$27="Gas",Tables!$B$4*(($C$30+1)/2)^($C$30/($C$30-1)),"n/a"),"—"))</f>
        <v>n/a</v>
      </c>
    </row>
    <row r="45" customFormat="false" ht="15" hidden="false" customHeight="false" outlineLevel="0" collapsed="false">
      <c r="B45" s="34" t="s">
        <v>94</v>
      </c>
      <c r="C45" s="42" t="n">
        <f aca="false">IF($C$5="","",IFERROR(IF($C$27="Gas",IF($C$43&gt;$C$44,$C$23*$C$22*0.000001*$C$43*SQRT($C$30*$C$28/(Tables!$B$5*$C$39)*(2/($C$30+1))^(($C$30+1)/($C$30-1))),$C$23*$C$22*0.000001*$C$43*SQRT($C$28/(Tables!$B$5*$C$39)*(2*$C$30/($C$30-1))*(1-(Tables!$B$4/$C$43)^(($C$30-1)/$C$30))*(Tables!$B$4/$C$43)^(2/$C$30))),6.55*$C$42^0.78*$C$41*$C$40*$C$28^0.667/(Tables!$B$5*$C$39)),"—"))</f>
        <v>0.000312493785844318</v>
      </c>
    </row>
    <row r="46" customFormat="false" ht="15" hidden="false" customHeight="false" outlineLevel="0" collapsed="false">
      <c r="B46" s="34" t="s">
        <v>95</v>
      </c>
      <c r="C46" s="43" t="n">
        <f aca="false">IF($C$5="","",IFERROR(IF($C$27="Gas",$C$6/$C$45/60,$C$6/1000*$C$31/$C$45/60),"—"))</f>
        <v>1156.02298786182</v>
      </c>
    </row>
    <row r="47" customFormat="false" ht="15" hidden="false" customHeight="false" outlineLevel="0" collapsed="false">
      <c r="B47" s="34" t="s">
        <v>96</v>
      </c>
      <c r="C47" s="44" t="n">
        <f aca="false">IF($C$5="","",IFERROR(Tables!$B$10*$C$28*$C$29,"—"))</f>
        <v>0.03833024</v>
      </c>
    </row>
    <row r="48" customFormat="false" ht="15" hidden="false" customHeight="false" outlineLevel="0" collapsed="false">
      <c r="B48" s="34" t="s">
        <v>97</v>
      </c>
      <c r="C48" s="39" t="n">
        <f aca="false">IF($C$5="","",IFERROR(IF($C$8="Outdoor",$C$21,$C$20),"—"))</f>
        <v>2</v>
      </c>
    </row>
    <row r="49" customFormat="false" ht="15" hidden="false" customHeight="false" outlineLevel="0" collapsed="false">
      <c r="B49" s="34" t="s">
        <v>98</v>
      </c>
      <c r="C49" s="44" t="n">
        <f aca="false">IF($C$5="","",IFERROR(IF($C$8="Outdoor",Tables!$B$8,$C$12/3600),"—"))</f>
        <v>0.000833333333333333</v>
      </c>
    </row>
    <row r="50" customFormat="false" ht="15" hidden="false" customHeight="false" outlineLevel="0" collapsed="false">
      <c r="B50" s="34" t="s">
        <v>99</v>
      </c>
      <c r="C50" s="40" t="n">
        <f aca="false">IF($C$5="","",IFERROR($C$28/28.96,"—"))</f>
        <v>3.18162983425414</v>
      </c>
    </row>
    <row r="51" customFormat="false" ht="15" hidden="false" customHeight="false" outlineLevel="0" collapsed="false">
      <c r="B51" s="34" t="s">
        <v>100</v>
      </c>
      <c r="C51" s="45" t="n">
        <f aca="false">IF($C$5="","",IFERROR(IF($C$8="Outdoor",Tables!$B$8*Tables!$B$11,$C$14/3600),"—"))</f>
        <v>0.000138888888888889</v>
      </c>
    </row>
  </sheetData>
  <mergeCells count="15">
    <mergeCell ref="B4:D4"/>
    <mergeCell ref="F4:J4"/>
    <mergeCell ref="G5:J5"/>
    <mergeCell ref="G6:H6"/>
    <mergeCell ref="G7:H7"/>
    <mergeCell ref="G8:H8"/>
    <mergeCell ref="G9:J9"/>
    <mergeCell ref="G10:J10"/>
    <mergeCell ref="G11:J11"/>
    <mergeCell ref="G12:O13"/>
    <mergeCell ref="B15:D15"/>
    <mergeCell ref="F15:V15"/>
    <mergeCell ref="F20:V21"/>
    <mergeCell ref="F23:O25"/>
    <mergeCell ref="B26:D26"/>
  </mergeCells>
  <conditionalFormatting sqref="G5:J5">
    <cfRule type="expression" priority="2" aboveAverage="0" equalAverage="0" bottom="0" percent="0" rank="0" text="" dxfId="0">
      <formula>OR(RIGHT($G$5,2)="NE",LEFT($G$5,3)="Non")</formula>
    </cfRule>
    <cfRule type="expression" priority="3" aboveAverage="0" equalAverage="0" bottom="0" percent="0" rank="0" text="" dxfId="1">
      <formula>ISNUMBER(SEARCH("Zone 0",IFERROR(LEFT($G$5,FIND("(",$G$5)-1),$G$5)))</formula>
    </cfRule>
    <cfRule type="expression" priority="4" aboveAverage="0" equalAverage="0" bottom="0" percent="0" rank="0" text="" dxfId="2">
      <formula>ISNUMBER(SEARCH("Zone 1",IFERROR(LEFT($G$5,FIND("(",$G$5)-1),$G$5)))</formula>
    </cfRule>
    <cfRule type="expression" priority="5" aboveAverage="0" equalAverage="0" bottom="0" percent="0" rank="0" text="" dxfId="3">
      <formula>ISNUMBER(SEARCH("Zone 2",IFERROR(LEFT($G$5,FIND("(",$G$5)-1),$G$5)))</formula>
    </cfRule>
  </conditionalFormatting>
  <conditionalFormatting sqref="G7:H7">
    <cfRule type="expression" priority="6" aboveAverage="0" equalAverage="0" bottom="0" percent="0" rank="0" text="" dxfId="0">
      <formula>OR(RIGHT($G$7,2)="NE",LEFT($G$7,3)="Non")</formula>
    </cfRule>
    <cfRule type="expression" priority="7" aboveAverage="0" equalAverage="0" bottom="0" percent="0" rank="0" text="" dxfId="1">
      <formula>ISNUMBER(SEARCH("Zone 0",IFERROR(LEFT($G$7,FIND("(",$G$7)-1),$G$7)))</formula>
    </cfRule>
    <cfRule type="expression" priority="8" aboveAverage="0" equalAverage="0" bottom="0" percent="0" rank="0" text="" dxfId="2">
      <formula>ISNUMBER(SEARCH("Zone 1",IFERROR(LEFT($G$7,FIND("(",$G$7)-1),$G$7)))</formula>
    </cfRule>
    <cfRule type="expression" priority="9" aboveAverage="0" equalAverage="0" bottom="0" percent="0" rank="0" text="" dxfId="3">
      <formula>ISNUMBER(SEARCH("Zone 2",IFERROR(LEFT($G$7,FIND("(",$G$7)-1),$G$7)))</formula>
    </cfRule>
  </conditionalFormatting>
  <conditionalFormatting sqref="G8:H8">
    <cfRule type="expression" priority="10" aboveAverage="0" equalAverage="0" bottom="0" percent="0" rank="0" text="" dxfId="0">
      <formula>OR(RIGHT($G$8,2)="NE",LEFT($G$8,3)="Non")</formula>
    </cfRule>
    <cfRule type="expression" priority="11" aboveAverage="0" equalAverage="0" bottom="0" percent="0" rank="0" text="" dxfId="1">
      <formula>ISNUMBER(SEARCH("Zone 0",IFERROR(LEFT($G$8,FIND("(",$G$8)-1),$G$8)))</formula>
    </cfRule>
    <cfRule type="expression" priority="12" aboveAverage="0" equalAverage="0" bottom="0" percent="0" rank="0" text="" dxfId="2">
      <formula>ISNUMBER(SEARCH("Zone 1",IFERROR(LEFT($G$8,FIND("(",$G$8)-1),$G$8)))</formula>
    </cfRule>
    <cfRule type="expression" priority="13" aboveAverage="0" equalAverage="0" bottom="0" percent="0" rank="0" text="" dxfId="3">
      <formula>ISNUMBER(SEARCH("Zone 2",IFERROR(LEFT($G$8,FIND("(",$G$8)-1),$G$8)))</formula>
    </cfRule>
  </conditionalFormatting>
  <conditionalFormatting sqref="H17:I19">
    <cfRule type="expression" priority="14" aboveAverage="0" equalAverage="0" bottom="0" percent="0" rank="0" text="" dxfId="0">
      <formula>OR(RIGHT(H17,2)="NE",LEFT(H17,3)="Non")</formula>
    </cfRule>
    <cfRule type="expression" priority="15" aboveAverage="0" equalAverage="0" bottom="0" percent="0" rank="0" text="" dxfId="1">
      <formula>ISNUMBER(SEARCH("Zone 0",IFERROR(LEFT(H17,FIND("(",H17)-1),H17)))</formula>
    </cfRule>
    <cfRule type="expression" priority="16" aboveAverage="0" equalAverage="0" bottom="0" percent="0" rank="0" text="" dxfId="2">
      <formula>ISNUMBER(SEARCH("Zone 1",IFERROR(LEFT(H17,FIND("(",H17)-1),H17)))</formula>
    </cfRule>
    <cfRule type="expression" priority="17" aboveAverage="0" equalAverage="0" bottom="0" percent="0" rank="0" text="" dxfId="3">
      <formula>ISNUMBER(SEARCH("Zone 2",IFERROR(LEFT(H17,FIND("(",H17)-1),H17)))</formula>
    </cfRule>
  </conditionalFormatting>
  <conditionalFormatting sqref="L17:L19">
    <cfRule type="expression" priority="18" aboveAverage="0" equalAverage="0" bottom="0" percent="0" rank="0" text="" dxfId="0">
      <formula>OR(RIGHT(L17,2)="NE",LEFT(L17,3)="Non")</formula>
    </cfRule>
    <cfRule type="expression" priority="19" aboveAverage="0" equalAverage="0" bottom="0" percent="0" rank="0" text="" dxfId="1">
      <formula>ISNUMBER(SEARCH("Zone 0",IFERROR(LEFT(L17,FIND("(",L17)-1),L17)))</formula>
    </cfRule>
    <cfRule type="expression" priority="20" aboveAverage="0" equalAverage="0" bottom="0" percent="0" rank="0" text="" dxfId="2">
      <formula>ISNUMBER(SEARCH("Zone 1",IFERROR(LEFT(L17,FIND("(",L17)-1),L17)))</formula>
    </cfRule>
    <cfRule type="expression" priority="21" aboveAverage="0" equalAverage="0" bottom="0" percent="0" rank="0" text="" dxfId="3">
      <formula>ISNUMBER(SEARCH("Zone 2",IFERROR(LEFT(L17,FIND("(",L17)-1),L17)))</formula>
    </cfRule>
  </conditionalFormatting>
  <dataValidations count="4">
    <dataValidation allowBlank="true" errorStyle="stop" operator="between" showDropDown="false" showErrorMessage="false" showInputMessage="false" sqref="C5" type="list">
      <formula1>Substances!$A$2:$A$60</formula1>
      <formula2>0</formula2>
    </dataValidation>
    <dataValidation allowBlank="true" errorStyle="stop" operator="between" showDropDown="false" showErrorMessage="false" showInputMessage="false" sqref="C7" type="list">
      <formula1>$F$17:$F$19</formula1>
      <formula2>0</formula2>
    </dataValidation>
    <dataValidation allowBlank="true" errorStyle="stop" operator="between" showDropDown="false" showErrorMessage="false" showInputMessage="false" sqref="C8" type="list">
      <formula1>"Indoor,Outdoor"</formula1>
      <formula2>0</formula2>
    </dataValidation>
    <dataValidation allowBlank="true" errorStyle="stop" operator="between" showDropDown="false" showErrorMessage="false" showInputMessage="false" sqref="C13" type="list">
      <formula1>"Good,Fair,Poor"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0"/>
  </cols>
  <sheetData>
    <row r="1" customFormat="false" ht="19.7" hidden="false" customHeight="false" outlineLevel="0" collapsed="false">
      <c r="B1" s="46" t="s">
        <v>101</v>
      </c>
    </row>
    <row r="2" customFormat="false" ht="23.85" hidden="false" customHeight="false" outlineLevel="0" collapsed="false">
      <c r="B2" s="47" t="s">
        <v>102</v>
      </c>
    </row>
    <row r="3" customFormat="false" ht="15" hidden="false" customHeight="false" outlineLevel="0" collapsed="false">
      <c r="B3" s="47"/>
    </row>
    <row r="4" customFormat="false" ht="15" hidden="false" customHeight="false" outlineLevel="0" collapsed="false">
      <c r="B4" s="48" t="s">
        <v>103</v>
      </c>
    </row>
    <row r="5" customFormat="false" ht="15" hidden="false" customHeight="false" outlineLevel="0" collapsed="false">
      <c r="B5" s="47" t="s">
        <v>104</v>
      </c>
    </row>
    <row r="6" customFormat="false" ht="15" hidden="false" customHeight="false" outlineLevel="0" collapsed="false">
      <c r="B6" s="47" t="s">
        <v>105</v>
      </c>
    </row>
    <row r="7" customFormat="false" ht="15" hidden="false" customHeight="false" outlineLevel="0" collapsed="false">
      <c r="B7" s="47" t="s">
        <v>106</v>
      </c>
    </row>
    <row r="8" customFormat="false" ht="15" hidden="false" customHeight="false" outlineLevel="0" collapsed="false">
      <c r="B8" s="47" t="s">
        <v>107</v>
      </c>
    </row>
    <row r="9" customFormat="false" ht="15" hidden="false" customHeight="false" outlineLevel="0" collapsed="false">
      <c r="B9" s="47"/>
    </row>
    <row r="10" customFormat="false" ht="15" hidden="false" customHeight="false" outlineLevel="0" collapsed="false">
      <c r="B10" s="48" t="s">
        <v>108</v>
      </c>
    </row>
    <row r="11" customFormat="false" ht="15" hidden="false" customHeight="false" outlineLevel="0" collapsed="false">
      <c r="B11" s="49" t="s">
        <v>109</v>
      </c>
    </row>
    <row r="12" customFormat="false" ht="15" hidden="false" customHeight="false" outlineLevel="0" collapsed="false">
      <c r="B12" s="47" t="s">
        <v>110</v>
      </c>
    </row>
    <row r="13" customFormat="false" ht="15" hidden="false" customHeight="false" outlineLevel="0" collapsed="false">
      <c r="B13" s="47" t="s">
        <v>111</v>
      </c>
    </row>
    <row r="14" customFormat="false" ht="15" hidden="false" customHeight="false" outlineLevel="0" collapsed="false">
      <c r="B14" s="47" t="s">
        <v>112</v>
      </c>
    </row>
    <row r="15" customFormat="false" ht="15" hidden="false" customHeight="false" outlineLevel="0" collapsed="false">
      <c r="B15" s="47" t="s">
        <v>113</v>
      </c>
    </row>
    <row r="16" customFormat="false" ht="15" hidden="false" customHeight="false" outlineLevel="0" collapsed="false">
      <c r="B16" s="47" t="s">
        <v>114</v>
      </c>
    </row>
    <row r="17" customFormat="false" ht="15" hidden="false" customHeight="false" outlineLevel="0" collapsed="false">
      <c r="B17" s="47" t="s">
        <v>115</v>
      </c>
    </row>
    <row r="18" customFormat="false" ht="15" hidden="false" customHeight="false" outlineLevel="0" collapsed="false">
      <c r="B18" s="49" t="s">
        <v>116</v>
      </c>
    </row>
    <row r="19" customFormat="false" ht="15" hidden="false" customHeight="false" outlineLevel="0" collapsed="false">
      <c r="B19" s="47" t="s">
        <v>117</v>
      </c>
    </row>
    <row r="20" customFormat="false" ht="15" hidden="false" customHeight="false" outlineLevel="0" collapsed="false">
      <c r="B20" s="49" t="s">
        <v>118</v>
      </c>
    </row>
    <row r="21" customFormat="false" ht="15" hidden="false" customHeight="false" outlineLevel="0" collapsed="false">
      <c r="B21" s="49" t="s">
        <v>119</v>
      </c>
    </row>
    <row r="22" customFormat="false" ht="15" hidden="false" customHeight="false" outlineLevel="0" collapsed="false">
      <c r="B22" s="49" t="s">
        <v>120</v>
      </c>
    </row>
    <row r="23" customFormat="false" ht="15" hidden="false" customHeight="false" outlineLevel="0" collapsed="false">
      <c r="B23" s="49" t="s">
        <v>121</v>
      </c>
    </row>
    <row r="24" customFormat="false" ht="15" hidden="false" customHeight="false" outlineLevel="0" collapsed="false">
      <c r="B24" s="47"/>
    </row>
    <row r="25" customFormat="false" ht="15" hidden="false" customHeight="false" outlineLevel="0" collapsed="false">
      <c r="B25" s="48" t="s">
        <v>122</v>
      </c>
    </row>
    <row r="26" customFormat="false" ht="23.85" hidden="false" customHeight="false" outlineLevel="0" collapsed="false">
      <c r="B26" s="47" t="s">
        <v>123</v>
      </c>
    </row>
    <row r="27" customFormat="false" ht="15" hidden="false" customHeight="false" outlineLevel="0" collapsed="false">
      <c r="B27" s="47"/>
    </row>
    <row r="28" customFormat="false" ht="15" hidden="false" customHeight="false" outlineLevel="0" collapsed="false">
      <c r="B28" s="48" t="s">
        <v>124</v>
      </c>
    </row>
    <row r="29" customFormat="false" ht="23.85" hidden="false" customHeight="false" outlineLevel="0" collapsed="false">
      <c r="B29" s="47" t="s">
        <v>125</v>
      </c>
    </row>
    <row r="30" customFormat="false" ht="23.85" hidden="false" customHeight="false" outlineLevel="0" collapsed="false">
      <c r="B30" s="47" t="s">
        <v>126</v>
      </c>
    </row>
    <row r="31" customFormat="false" ht="15" hidden="false" customHeight="false" outlineLevel="0" collapsed="false">
      <c r="B31" s="47" t="s">
        <v>127</v>
      </c>
    </row>
    <row r="32" customFormat="false" ht="15" hidden="false" customHeight="false" outlineLevel="0" collapsed="false">
      <c r="B32" s="47" t="s">
        <v>128</v>
      </c>
    </row>
    <row r="33" customFormat="false" ht="15" hidden="false" customHeight="false" outlineLevel="0" collapsed="false">
      <c r="B33" s="47" t="s">
        <v>129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W5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18"/>
    <col collapsed="false" customWidth="true" hidden="false" outlineLevel="0" max="4" min="4" style="0" width="16"/>
    <col collapsed="false" customWidth="true" hidden="false" outlineLevel="0" max="5" min="5" style="0" width="12"/>
    <col collapsed="false" customWidth="true" hidden="false" outlineLevel="0" max="7" min="6" style="0" width="10"/>
    <col collapsed="false" customWidth="true" hidden="false" outlineLevel="0" max="8" min="8" style="0" width="11"/>
    <col collapsed="false" customWidth="true" hidden="false" outlineLevel="0" max="12" min="9" style="0" width="10"/>
    <col collapsed="false" customWidth="true" hidden="false" outlineLevel="0" max="13" min="13" style="0" width="13"/>
    <col collapsed="false" customWidth="true" hidden="false" outlineLevel="0" max="14" min="14" style="0" width="9"/>
    <col collapsed="false" customWidth="true" hidden="false" outlineLevel="0" max="15" min="15" style="0" width="10"/>
    <col collapsed="false" customWidth="true" hidden="false" outlineLevel="0" max="16" min="16" style="0" width="11"/>
    <col collapsed="false" customWidth="true" hidden="false" outlineLevel="0" max="18" min="17" style="0" width="10"/>
    <col collapsed="false" customWidth="true" hidden="false" outlineLevel="0" max="19" min="19" style="0" width="11"/>
    <col collapsed="false" customWidth="true" hidden="false" outlineLevel="0" max="20" min="20" style="0" width="12"/>
    <col collapsed="false" customWidth="true" hidden="false" outlineLevel="0" max="21" min="21" style="0" width="9"/>
    <col collapsed="false" customWidth="true" hidden="false" outlineLevel="0" max="22" min="22" style="0" width="8"/>
    <col collapsed="false" customWidth="true" hidden="false" outlineLevel="0" max="23" min="23" style="0" width="7"/>
    <col collapsed="false" customWidth="true" hidden="false" outlineLevel="0" max="25" min="24" style="0" width="9"/>
    <col collapsed="false" customWidth="true" hidden="false" outlineLevel="0" max="26" min="26" style="0" width="8"/>
    <col collapsed="false" customWidth="true" hidden="false" outlineLevel="0" max="28" min="27" style="0" width="7"/>
    <col collapsed="false" customWidth="true" hidden="false" outlineLevel="0" max="29" min="29" style="0" width="10"/>
    <col collapsed="false" customWidth="true" hidden="false" outlineLevel="0" max="30" min="30" style="0" width="12"/>
    <col collapsed="false" customWidth="true" hidden="false" outlineLevel="0" max="32" min="31" style="0" width="9"/>
    <col collapsed="false" customWidth="true" hidden="false" outlineLevel="0" max="33" min="33" style="0" width="12"/>
    <col collapsed="false" customWidth="true" hidden="false" outlineLevel="0" max="35" min="34" style="0" width="10"/>
    <col collapsed="false" customWidth="true" hidden="false" outlineLevel="0" max="36" min="36" style="0" width="11"/>
    <col collapsed="false" customWidth="true" hidden="false" outlineLevel="0" max="37" min="37" style="0" width="12"/>
    <col collapsed="false" customWidth="true" hidden="false" outlineLevel="0" max="38" min="38" style="0" width="10"/>
    <col collapsed="false" customWidth="true" hidden="false" outlineLevel="0" max="39" min="39" style="0" width="6"/>
    <col collapsed="false" customWidth="true" hidden="false" outlineLevel="0" max="40" min="40" style="0" width="11"/>
    <col collapsed="false" customWidth="true" hidden="false" outlineLevel="0" max="41" min="41" style="0" width="10"/>
    <col collapsed="false" customWidth="true" hidden="false" outlineLevel="0" max="42" min="42" style="0" width="12"/>
    <col collapsed="false" customWidth="true" hidden="false" outlineLevel="0" max="44" min="43" style="0" width="10"/>
    <col collapsed="false" customWidth="true" hidden="false" outlineLevel="0" max="45" min="45" style="0" width="22"/>
    <col collapsed="false" customWidth="true" hidden="false" outlineLevel="0" max="46" min="46" style="0" width="12"/>
    <col collapsed="false" customWidth="true" hidden="false" outlineLevel="0" max="47" min="47" style="0" width="10"/>
    <col collapsed="false" customWidth="true" hidden="false" outlineLevel="0" max="48" min="48" style="0" width="16"/>
    <col collapsed="false" customWidth="true" hidden="false" outlineLevel="0" max="49" min="49" style="0" width="48"/>
  </cols>
  <sheetData>
    <row r="1" customFormat="false" ht="17.35" hidden="false" customHeight="false" outlineLevel="0" collapsed="false">
      <c r="A1" s="50" t="s">
        <v>130</v>
      </c>
    </row>
    <row r="2" customFormat="false" ht="15" hidden="false" customHeight="false" outlineLevel="0" collapsed="false">
      <c r="A2" s="2" t="s">
        <v>131</v>
      </c>
    </row>
    <row r="3" customFormat="false" ht="15" hidden="false" customHeight="false" outlineLevel="0" collapsed="false">
      <c r="A3" s="51" t="s">
        <v>132</v>
      </c>
    </row>
    <row r="4" customFormat="false" ht="23.85" hidden="false" customHeight="false" outlineLevel="0" collapsed="false">
      <c r="B4" s="52" t="s">
        <v>133</v>
      </c>
      <c r="D4" s="53" t="s">
        <v>134</v>
      </c>
      <c r="F4" s="54" t="s">
        <v>135</v>
      </c>
      <c r="H4" s="18" t="s">
        <v>136</v>
      </c>
    </row>
    <row r="6" customFormat="false" ht="15" hidden="false" customHeight="true" outlineLevel="0" collapsed="false">
      <c r="A6" s="55" t="s">
        <v>137</v>
      </c>
      <c r="B6" s="55"/>
      <c r="C6" s="55"/>
      <c r="D6" s="55"/>
      <c r="E6" s="55"/>
      <c r="F6" s="55"/>
      <c r="G6" s="55"/>
      <c r="H6" s="55"/>
      <c r="I6" s="55"/>
      <c r="J6" s="55"/>
      <c r="K6" s="55"/>
      <c r="L6" s="55"/>
      <c r="M6" s="55"/>
      <c r="N6" s="55"/>
      <c r="O6" s="55"/>
      <c r="P6" s="55"/>
      <c r="Q6" s="55"/>
      <c r="R6" s="55"/>
      <c r="S6" s="55"/>
      <c r="T6" s="55"/>
      <c r="U6" s="55" t="s">
        <v>138</v>
      </c>
      <c r="V6" s="55"/>
      <c r="W6" s="55"/>
      <c r="X6" s="55"/>
      <c r="Y6" s="55"/>
      <c r="Z6" s="55"/>
      <c r="AA6" s="55"/>
      <c r="AB6" s="55"/>
      <c r="AC6" s="55"/>
      <c r="AD6" s="55" t="s">
        <v>139</v>
      </c>
      <c r="AE6" s="55"/>
      <c r="AF6" s="55"/>
      <c r="AG6" s="55"/>
      <c r="AH6" s="55"/>
      <c r="AI6" s="55"/>
      <c r="AJ6" s="55"/>
      <c r="AK6" s="55"/>
      <c r="AL6" s="55" t="s">
        <v>140</v>
      </c>
      <c r="AM6" s="55"/>
      <c r="AN6" s="55"/>
      <c r="AO6" s="55"/>
      <c r="AP6" s="55"/>
      <c r="AQ6" s="55"/>
      <c r="AR6" s="55"/>
      <c r="AS6" s="55"/>
      <c r="AT6" s="55"/>
      <c r="AU6" s="55"/>
      <c r="AV6" s="55"/>
      <c r="AW6" s="55"/>
    </row>
    <row r="7" customFormat="false" ht="57.75" hidden="false" customHeight="true" outlineLevel="0" collapsed="false">
      <c r="A7" s="23" t="s">
        <v>141</v>
      </c>
      <c r="B7" s="23" t="s">
        <v>142</v>
      </c>
      <c r="C7" s="23" t="s">
        <v>4</v>
      </c>
      <c r="D7" s="23" t="s">
        <v>143</v>
      </c>
      <c r="E7" s="23" t="s">
        <v>144</v>
      </c>
      <c r="F7" s="23" t="s">
        <v>145</v>
      </c>
      <c r="G7" s="23" t="s">
        <v>146</v>
      </c>
      <c r="H7" s="23" t="s">
        <v>147</v>
      </c>
      <c r="I7" s="23" t="s">
        <v>148</v>
      </c>
      <c r="J7" s="23" t="s">
        <v>149</v>
      </c>
      <c r="K7" s="23" t="s">
        <v>150</v>
      </c>
      <c r="L7" s="23" t="s">
        <v>151</v>
      </c>
      <c r="M7" s="23" t="s">
        <v>152</v>
      </c>
      <c r="N7" s="23" t="s">
        <v>90</v>
      </c>
      <c r="O7" s="23" t="s">
        <v>91</v>
      </c>
      <c r="P7" s="23" t="s">
        <v>153</v>
      </c>
      <c r="Q7" s="23" t="s">
        <v>154</v>
      </c>
      <c r="R7" s="23" t="s">
        <v>155</v>
      </c>
      <c r="S7" s="23" t="s">
        <v>156</v>
      </c>
      <c r="T7" s="23" t="s">
        <v>157</v>
      </c>
      <c r="U7" s="23" t="s">
        <v>158</v>
      </c>
      <c r="V7" s="23" t="s">
        <v>78</v>
      </c>
      <c r="W7" s="23" t="s">
        <v>79</v>
      </c>
      <c r="X7" s="23" t="s">
        <v>80</v>
      </c>
      <c r="Y7" s="23" t="s">
        <v>81</v>
      </c>
      <c r="Z7" s="23" t="s">
        <v>82</v>
      </c>
      <c r="AA7" s="23" t="s">
        <v>83</v>
      </c>
      <c r="AB7" s="23" t="s">
        <v>84</v>
      </c>
      <c r="AC7" s="23" t="s">
        <v>99</v>
      </c>
      <c r="AD7" s="23" t="s">
        <v>92</v>
      </c>
      <c r="AE7" s="23" t="s">
        <v>159</v>
      </c>
      <c r="AF7" s="23" t="s">
        <v>160</v>
      </c>
      <c r="AG7" s="23" t="s">
        <v>93</v>
      </c>
      <c r="AH7" s="23" t="s">
        <v>161</v>
      </c>
      <c r="AI7" s="23" t="s">
        <v>89</v>
      </c>
      <c r="AJ7" s="23" t="s">
        <v>162</v>
      </c>
      <c r="AK7" s="23" t="s">
        <v>163</v>
      </c>
      <c r="AL7" s="23" t="s">
        <v>96</v>
      </c>
      <c r="AM7" s="23" t="s">
        <v>47</v>
      </c>
      <c r="AN7" s="23" t="s">
        <v>48</v>
      </c>
      <c r="AO7" s="23" t="s">
        <v>98</v>
      </c>
      <c r="AP7" s="23" t="s">
        <v>164</v>
      </c>
      <c r="AQ7" s="23" t="s">
        <v>24</v>
      </c>
      <c r="AR7" s="23" t="s">
        <v>165</v>
      </c>
      <c r="AS7" s="23" t="s">
        <v>166</v>
      </c>
      <c r="AT7" s="23" t="s">
        <v>167</v>
      </c>
      <c r="AU7" s="23" t="s">
        <v>168</v>
      </c>
      <c r="AV7" s="23" t="s">
        <v>169</v>
      </c>
      <c r="AW7" s="23" t="s">
        <v>170</v>
      </c>
    </row>
    <row r="8" customFormat="false" ht="23.85" hidden="false" customHeight="false" outlineLevel="0" collapsed="false">
      <c r="A8" s="56" t="s">
        <v>171</v>
      </c>
      <c r="B8" s="57" t="s">
        <v>172</v>
      </c>
      <c r="C8" s="56" t="s">
        <v>173</v>
      </c>
      <c r="D8" s="56" t="s">
        <v>174</v>
      </c>
      <c r="E8" s="56" t="s">
        <v>57</v>
      </c>
      <c r="F8" s="56" t="s">
        <v>175</v>
      </c>
      <c r="G8" s="58" t="n">
        <v>10</v>
      </c>
      <c r="H8" s="59" t="n">
        <v>20</v>
      </c>
      <c r="I8" s="59" t="n">
        <v>20</v>
      </c>
      <c r="J8" s="60" t="n">
        <v>2.5</v>
      </c>
      <c r="K8" s="58" t="n">
        <v>0.75</v>
      </c>
      <c r="L8" s="58" t="n">
        <v>1</v>
      </c>
      <c r="M8" s="58"/>
      <c r="N8" s="58"/>
      <c r="O8" s="58"/>
      <c r="P8" s="58"/>
      <c r="Q8" s="61"/>
      <c r="R8" s="59"/>
      <c r="S8" s="59" t="n">
        <v>1</v>
      </c>
      <c r="T8" s="56" t="s">
        <v>31</v>
      </c>
      <c r="U8" s="62" t="n">
        <f aca="false">IF($C8="","",IFERROR(IF(INDEX(Substances!$C$2:$C$60,MATCH($C8,Substances!$A$2:$A$60,0))="","",INDEX(Substances!$C$2:$C$60,MATCH($C8,Substances!$A$2:$A$60,0))),"—"))</f>
        <v>44.1</v>
      </c>
      <c r="V8" s="63" t="n">
        <f aca="false">IF($C8="","",IFERROR(IF(INDEX(Substances!$D$2:$D$60,MATCH($C8,Substances!$A$2:$A$60,0))="","",INDEX(Substances!$D$2:$D$60,MATCH($C8,Substances!$A$2:$A$60,0))),"—"))</f>
        <v>1.7</v>
      </c>
      <c r="W8" s="62" t="n">
        <f aca="false">IF($C8="","",IFERROR(IF(INDEX(Substances!$F$2:$F$60,MATCH($C8,Substances!$A$2:$A$60,0))="","",INDEX(Substances!$F$2:$F$60,MATCH($C8,Substances!$A$2:$A$60,0))),"—"))</f>
        <v>1.13</v>
      </c>
      <c r="X8" s="64" t="n">
        <f aca="false">IF($C8="","",IFERROR(IF(INDEX(Substances!$G$2:$G$60,MATCH($C8,Substances!$A$2:$A$60,0))="","",INDEX(Substances!$G$2:$G$60,MATCH($C8,Substances!$A$2:$A$60,0))),"—"))</f>
        <v>493</v>
      </c>
      <c r="Y8" s="63" t="n">
        <f aca="false">IF($C8="","",IFERROR(IF(INDEX(Substances!$H$2:$H$60,MATCH($C8,Substances!$A$2:$A$60,0))="","",INDEX(Substances!$H$2:$H$60,MATCH($C8,Substances!$A$2:$A$60,0))),"—"))</f>
        <v>-42.1</v>
      </c>
      <c r="Z8" s="64" t="str">
        <f aca="false">IF($C8="","",IFERROR(IF(INDEX(Substances!$I$2:$I$60,MATCH($C8,Substances!$A$2:$A$60,0))="","",INDEX(Substances!$I$2:$I$60,MATCH($C8,Substances!$A$2:$A$60,0))),"—"))</f>
        <v/>
      </c>
      <c r="AA8" s="64" t="n">
        <f aca="false">IF($C8="","",IFERROR(IF(INDEX(Substances!$J$2:$J$60,MATCH($C8,Substances!$A$2:$A$60,0))="","",INDEX(Substances!$J$2:$J$60,MATCH($C8,Substances!$A$2:$A$60,0))),"—"))</f>
        <v>450</v>
      </c>
      <c r="AB8" s="65" t="str">
        <f aca="false">IF($C8="","",IFERROR(IF(INDEX(Substances!$K$2:$K$60,MATCH($C8,Substances!$A$2:$A$60,0))="","",INDEX(Substances!$K$2:$K$60,MATCH($C8,Substances!$A$2:$A$60,0))),"—"))</f>
        <v>IIA</v>
      </c>
      <c r="AC8" s="62" t="n">
        <f aca="false">IF($C8="","",IFERROR($U8/28.96,"—"))</f>
        <v>1.52279005524862</v>
      </c>
      <c r="AD8" s="66" t="n">
        <f aca="false">IF($C8="","",IFERROR(N($G8)*100000+Tables!$B$4,"—"))</f>
        <v>1101325</v>
      </c>
      <c r="AE8" s="67" t="n">
        <f aca="false">IF($C8="","",IFERROR($H8+273.15,"—"))</f>
        <v>293.15</v>
      </c>
      <c r="AF8" s="67" t="n">
        <f aca="false">IF($C8="","",IFERROR($I8+273.15,"—"))</f>
        <v>293.15</v>
      </c>
      <c r="AG8" s="66" t="n">
        <f aca="false">IF($C8="","",IFERROR(IF($D8="Gas/vapour jet",Tables!$B$4*(($W8+1)/2)^($W8/($W8-1)),"n/a"),"—"))</f>
        <v>175165.195629753</v>
      </c>
      <c r="AH8" s="68" t="str">
        <f aca="false">IF($C8="","",IFERROR(IF($D8="Gas/vapour jet",IF($AD8&gt;$AG8,"Choked","Subsonic"),"n/a"),"—"))</f>
        <v>Choked</v>
      </c>
      <c r="AI8" s="69" t="str">
        <f aca="false">IF($C8="","",IFERROR(IF($D8="Gas/vapour jet","n/a",MIN(101.325,IF($P8&lt;&gt;"",$P8,IF(N(INDEX(Substances!$L$2:$L$60,MATCH($C8,Substances!$A$2:$A$60,0)))&lt;&gt;0,0.133322*10^(INDEX(Substances!$L$2:$L$60,MATCH($C8,Substances!$A$2:$A$60,0))-INDEX(Substances!$M$2:$M$60,MATCH($C8,Substances!$A$2:$A$60,0))/(INDEX(Substances!$N$2:$N$60,MATCH($C8,Substances!$A$2:$A$60,0))+$H8)),101.325*EXP(10.58*(1-($Y8+273.15)/$AE8)))))),"—"))</f>
        <v>n/a</v>
      </c>
      <c r="AJ8" s="70" t="str">
        <f aca="false">IF($C8="","",IFERROR(IF($D8="Liquid jet",$K8*$J8*0.000001*SQRT(2*$X8*N($G8)*100000),"n/a"),"—"))</f>
        <v>n/a</v>
      </c>
      <c r="AK8" s="71" t="n">
        <f aca="false">IF($C8="","",IFERROR(IF($D8="Gas/vapour jet",IF($AH8="Choked",$K8*$J8*0.000001*$AD8*SQRT($W8*$U8/($L8*Tables!$B$5*$AE8)*(2/($W8+1))^(($W8+1)/($W8-1))),$K8*$J8*0.000001*$AD8*SQRT($U8/($L8*Tables!$B$5*$AE8)*(2*$W8/($W8-1))*(1-(Tables!$B$4/$AD8)^(($W8-1)/$W8))*(Tables!$B$4/$AD8)^(2/$W8))),IF($D8="Liquid jet",$AJ8*IF($M8&lt;&gt;"",$M8,IF($H8&gt;=$Y8,1,0)),6.55*$O8^0.78*$N8*$AI8*$U8^0.667/(Tables!$B$5*$AE8))),"—"))</f>
        <v>0.00557402516168664</v>
      </c>
      <c r="AL8" s="72" t="n">
        <f aca="false">IF($C8="","",IFERROR(Tables!$B$10*$U8*$V8,"—"))</f>
        <v>0.03118752</v>
      </c>
      <c r="AM8" s="69" t="n">
        <f aca="false">IF($C8="","",IFERROR(INDEX(Tables!$B$15:$B$17,MATCH($E8,Tables!$A$15:$A$17,0)),"—"))</f>
        <v>0.5</v>
      </c>
      <c r="AN8" s="70" t="n">
        <f aca="false">IF($C8="","",IFERROR($AK8/($AM8*$AL8)*$AF8/Tables!$B$9,"—"))</f>
        <v>0.357635282201714</v>
      </c>
      <c r="AO8" s="72" t="n">
        <f aca="false">IF($C8="","",IFERROR(IF($F8="Outdoor",Tables!$B$8,$R8/3600),"—"))</f>
        <v>0.03</v>
      </c>
      <c r="AP8" s="73" t="n">
        <f aca="false">IF($C8="","",IFERROR($S8*$AN8/$AO8,"—"))</f>
        <v>11.9211760733905</v>
      </c>
      <c r="AQ8" s="74" t="str">
        <f aca="false">IF($C8="","",IFERROR(IF($AP8&lt;Tables!$B$7,"High",IF($F8="Outdoor","Medium",IF($AP8&lt;$Q8,"Medium","Low"))),"—"))</f>
        <v>Medium</v>
      </c>
      <c r="AR8" s="75" t="n">
        <f aca="false">IF($C8="","",IFERROR(-$S8/$AO8*LN($V8*$AM8/Tables!$B$6)/60,"—"))</f>
        <v>2.64871617526993</v>
      </c>
      <c r="AS8" s="76" t="str">
        <f aca="false">IF($C8="","",IFERROR(INDEX(Tables!$B$22:$J$24,MATCH($E8,Tables!$A$22:$A$24,0),MATCH($AQ8&amp;"-"&amp;$T8,Tables!$B$21:$J$21,0)),"—"))</f>
        <v>Zone 2</v>
      </c>
      <c r="AT8" s="77" t="n">
        <f aca="false">IF($C8="","",IFERROR((3*$AP8/(2*PI()))^(1/3),"—"))</f>
        <v>1.78547385972558</v>
      </c>
      <c r="AU8" s="78" t="str">
        <f aca="false">IF($C8="","",IFERROR(IF(ISNUMBER(SEARCH("Zone 0",IFERROR(LEFT($AS8,FIND("(",$AS8)-1),$AS8))),"Ga",IF(ISNUMBER(SEARCH("Zone 1",IFERROR(LEFT($AS8,FIND("(",$AS8)-1),$AS8))),"Gb",IF(ISNUMBER(SEARCH("Zone 2",IFERROR(LEFT($AS8,FIND("(",$AS8)-1),$AS8))),"Gc","None required"))),"—"))</f>
        <v>Gc</v>
      </c>
      <c r="AV8" s="74" t="str">
        <f aca="false">IF($C8="","",IFERROR(IF($AU8="None required","—",$AB8&amp;" "&amp;INDEX(Tables!$B$31:$B$37,MATCH($AA8-0.001,Tables!$A$31:$A$37,1))),"—"))</f>
        <v>IIA T2</v>
      </c>
      <c r="AW8" s="79" t="str">
        <f aca="false">IF($C8="","",TRIM(IF(IF(ISNUMBER($Z8),$H8&lt;$Z8-5,FALSE()),"Handled &gt;5°C below flash point — may not need zoning (unless mist/spray). ","")&amp;IF(IF(AND($D8="Pool evaporation",ISNUMBER($Y8)),$H8&gt;=$Y8,FALSE()),"Liquid at/above boiling point — pool equation not valid, treat as gas release. ","")&amp;IF(IF(AND($D8="Liquid jet",$M8="",ISNUMBER($Y8)),$H8&lt;$Y8,FALSE()),"Non-flashing liquid: vapour rate set to 0 — model the resulting pool on its own row. ","")&amp;IF(AND($D8="Gas/vapour jet",NOT(ISNUMBER($W8))),"No γ in library for this substance. ","")&amp;IF(IF(ISNUMBER($AC8),$AC8&gt;1.2,FALSE()),"Heavier than air — extend zone at low level / into pits and drains. ","")&amp;IF($AQ8="Low","Vz ≥ V0: ventilation cannot control the release — whole room affected. ","")&amp;IF(AND($F8="Indoor",OR($Q8="",$R8="")),"Indoor: enter room volume and air changes. ","")))</f>
        <v>Heavier than air — extend zone at low level / into pits and drains.</v>
      </c>
    </row>
    <row r="9" customFormat="false" ht="23.85" hidden="false" customHeight="false" outlineLevel="0" collapsed="false">
      <c r="A9" s="56" t="s">
        <v>176</v>
      </c>
      <c r="B9" s="57" t="s">
        <v>177</v>
      </c>
      <c r="C9" s="56" t="s">
        <v>178</v>
      </c>
      <c r="D9" s="56" t="s">
        <v>174</v>
      </c>
      <c r="E9" s="56" t="s">
        <v>57</v>
      </c>
      <c r="F9" s="56" t="s">
        <v>17</v>
      </c>
      <c r="G9" s="58" t="n">
        <v>2</v>
      </c>
      <c r="H9" s="59" t="n">
        <v>20</v>
      </c>
      <c r="I9" s="59" t="n">
        <v>20</v>
      </c>
      <c r="J9" s="60" t="n">
        <v>1</v>
      </c>
      <c r="K9" s="58" t="n">
        <v>0.75</v>
      </c>
      <c r="L9" s="58" t="n">
        <v>1</v>
      </c>
      <c r="M9" s="58"/>
      <c r="N9" s="58"/>
      <c r="O9" s="58"/>
      <c r="P9" s="58"/>
      <c r="Q9" s="61" t="n">
        <v>200</v>
      </c>
      <c r="R9" s="59" t="n">
        <v>3</v>
      </c>
      <c r="S9" s="59" t="n">
        <v>2</v>
      </c>
      <c r="T9" s="56" t="s">
        <v>179</v>
      </c>
      <c r="U9" s="62" t="n">
        <f aca="false">IF($C9="","",IFERROR(IF(INDEX(Substances!$C$2:$C$60,MATCH($C9,Substances!$A$2:$A$60,0))="","",INDEX(Substances!$C$2:$C$60,MATCH($C9,Substances!$A$2:$A$60,0))),"—"))</f>
        <v>16.04</v>
      </c>
      <c r="V9" s="63" t="n">
        <f aca="false">IF($C9="","",IFERROR(IF(INDEX(Substances!$D$2:$D$60,MATCH($C9,Substances!$A$2:$A$60,0))="","",INDEX(Substances!$D$2:$D$60,MATCH($C9,Substances!$A$2:$A$60,0))),"—"))</f>
        <v>4.4</v>
      </c>
      <c r="W9" s="62" t="n">
        <f aca="false">IF($C9="","",IFERROR(IF(INDEX(Substances!$F$2:$F$60,MATCH($C9,Substances!$A$2:$A$60,0))="","",INDEX(Substances!$F$2:$F$60,MATCH($C9,Substances!$A$2:$A$60,0))),"—"))</f>
        <v>1.31</v>
      </c>
      <c r="X9" s="64" t="str">
        <f aca="false">IF($C9="","",IFERROR(IF(INDEX(Substances!$G$2:$G$60,MATCH($C9,Substances!$A$2:$A$60,0))="","",INDEX(Substances!$G$2:$G$60,MATCH($C9,Substances!$A$2:$A$60,0))),"—"))</f>
        <v/>
      </c>
      <c r="Y9" s="63" t="n">
        <f aca="false">IF($C9="","",IFERROR(IF(INDEX(Substances!$H$2:$H$60,MATCH($C9,Substances!$A$2:$A$60,0))="","",INDEX(Substances!$H$2:$H$60,MATCH($C9,Substances!$A$2:$A$60,0))),"—"))</f>
        <v>-161.5</v>
      </c>
      <c r="Z9" s="64" t="str">
        <f aca="false">IF($C9="","",IFERROR(IF(INDEX(Substances!$I$2:$I$60,MATCH($C9,Substances!$A$2:$A$60,0))="","",INDEX(Substances!$I$2:$I$60,MATCH($C9,Substances!$A$2:$A$60,0))),"—"))</f>
        <v/>
      </c>
      <c r="AA9" s="64" t="n">
        <f aca="false">IF($C9="","",IFERROR(IF(INDEX(Substances!$J$2:$J$60,MATCH($C9,Substances!$A$2:$A$60,0))="","",INDEX(Substances!$J$2:$J$60,MATCH($C9,Substances!$A$2:$A$60,0))),"—"))</f>
        <v>600</v>
      </c>
      <c r="AB9" s="65" t="str">
        <f aca="false">IF($C9="","",IFERROR(IF(INDEX(Substances!$K$2:$K$60,MATCH($C9,Substances!$A$2:$A$60,0))="","",INDEX(Substances!$K$2:$K$60,MATCH($C9,Substances!$A$2:$A$60,0))),"—"))</f>
        <v>IIA</v>
      </c>
      <c r="AC9" s="62" t="n">
        <f aca="false">IF($C9="","",IFERROR($U9/28.96,"—"))</f>
        <v>0.553867403314917</v>
      </c>
      <c r="AD9" s="66" t="n">
        <f aca="false">IF($C9="","",IFERROR(N($G9)*100000+Tables!$B$4,"—"))</f>
        <v>301325</v>
      </c>
      <c r="AE9" s="67" t="n">
        <f aca="false">IF($C9="","",IFERROR($H9+273.15,"—"))</f>
        <v>293.15</v>
      </c>
      <c r="AF9" s="67" t="n">
        <f aca="false">IF($C9="","",IFERROR($I9+273.15,"—"))</f>
        <v>293.15</v>
      </c>
      <c r="AG9" s="66" t="n">
        <f aca="false">IF($C9="","",IFERROR(IF($D9="Gas/vapour jet",Tables!$B$4*(($W9+1)/2)^($W9/($W9-1)),"n/a"),"—"))</f>
        <v>186284.176005558</v>
      </c>
      <c r="AH9" s="68" t="str">
        <f aca="false">IF($C9="","",IFERROR(IF($D9="Gas/vapour jet",IF($AD9&gt;$AG9,"Choked","Subsonic"),"n/a"),"—"))</f>
        <v>Choked</v>
      </c>
      <c r="AI9" s="69" t="str">
        <f aca="false">IF($C9="","",IFERROR(IF($D9="Gas/vapour jet","n/a",MIN(101.325,IF($P9&lt;&gt;"",$P9,IF(N(INDEX(Substances!$L$2:$L$60,MATCH($C9,Substances!$A$2:$A$60,0)))&lt;&gt;0,0.133322*10^(INDEX(Substances!$L$2:$L$60,MATCH($C9,Substances!$A$2:$A$60,0))-INDEX(Substances!$M$2:$M$60,MATCH($C9,Substances!$A$2:$A$60,0))/(INDEX(Substances!$N$2:$N$60,MATCH($C9,Substances!$A$2:$A$60,0))+$H9)),101.325*EXP(10.58*(1-($Y9+273.15)/$AE9)))))),"—"))</f>
        <v>n/a</v>
      </c>
      <c r="AJ9" s="70" t="str">
        <f aca="false">IF($C9="","",IFERROR(IF($D9="Liquid jet",$K9*$J9*0.000001*SQRT(2*$X9*N($G9)*100000),"n/a"),"—"))</f>
        <v>n/a</v>
      </c>
      <c r="AK9" s="71" t="n">
        <f aca="false">IF($C9="","",IFERROR(IF($D9="Gas/vapour jet",IF($AH9="Choked",$K9*$J9*0.000001*$AD9*SQRT($W9*$U9/($L9*Tables!$B$5*$AE9)*(2/($W9+1))^(($W9+1)/($W9-1))),$K9*$J9*0.000001*$AD9*SQRT($U9/($L9*Tables!$B$5*$AE9)*(2*$W9/($W9-1))*(1-(Tables!$B$4/$AD9)^(($W9-1)/$W9))*(Tables!$B$4/$AD9)^(2/$W9))),IF($D9="Liquid jet",$AJ9*IF($M9&lt;&gt;"",$M9,IF($H9&gt;=$Y9,1,0)),6.55*$O9^0.78*$N9*$AI9*$U9^0.667/(Tables!$B$5*$AE9))),"—"))</f>
        <v>0.000387896569239863</v>
      </c>
      <c r="AL9" s="72" t="n">
        <f aca="false">IF($C9="","",IFERROR(Tables!$B$10*$U9*$V9,"—"))</f>
        <v>0.029359616</v>
      </c>
      <c r="AM9" s="69" t="n">
        <f aca="false">IF($C9="","",IFERROR(INDEX(Tables!$B$15:$B$17,MATCH($E9,Tables!$A$15:$A$17,0)),"—"))</f>
        <v>0.5</v>
      </c>
      <c r="AN9" s="70" t="n">
        <f aca="false">IF($C9="","",IFERROR($AK9/($AM9*$AL9)*$AF9/Tables!$B$9,"—"))</f>
        <v>0.0264373451683598</v>
      </c>
      <c r="AO9" s="72" t="n">
        <f aca="false">IF($C9="","",IFERROR(IF($F9="Outdoor",Tables!$B$8,$R9/3600),"—"))</f>
        <v>0.000833333333333333</v>
      </c>
      <c r="AP9" s="73" t="n">
        <f aca="false">IF($C9="","",IFERROR($S9*$AN9/$AO9,"—"))</f>
        <v>63.4496284040634</v>
      </c>
      <c r="AQ9" s="74" t="str">
        <f aca="false">IF($C9="","",IFERROR(IF($AP9&lt;Tables!$B$7,"High",IF($F9="Outdoor","Medium",IF($AP9&lt;$Q9,"Medium","Low"))),"—"))</f>
        <v>Medium</v>
      </c>
      <c r="AR9" s="75" t="n">
        <f aca="false">IF($C9="","",IFERROR(-$S9/$AO9*LN($V9*$AM9/Tables!$B$6)/60,"—"))</f>
        <v>152.668513024953</v>
      </c>
      <c r="AS9" s="76" t="str">
        <f aca="false">IF($C9="","",IFERROR(INDEX(Tables!$B$22:$J$24,MATCH($E9,Tables!$A$22:$A$24,0),MATCH($AQ9&amp;"-"&amp;$T9,Tables!$B$21:$J$21,0)),"—"))</f>
        <v>Zone 2</v>
      </c>
      <c r="AT9" s="77" t="n">
        <f aca="false">IF($C9="","",IFERROR((3*$AP9/(2*PI()))^(1/3),"—"))</f>
        <v>3.11738295479715</v>
      </c>
      <c r="AU9" s="78" t="str">
        <f aca="false">IF($C9="","",IFERROR(IF(ISNUMBER(SEARCH("Zone 0",IFERROR(LEFT($AS9,FIND("(",$AS9)-1),$AS9))),"Ga",IF(ISNUMBER(SEARCH("Zone 1",IFERROR(LEFT($AS9,FIND("(",$AS9)-1),$AS9))),"Gb",IF(ISNUMBER(SEARCH("Zone 2",IFERROR(LEFT($AS9,FIND("(",$AS9)-1),$AS9))),"Gc","None required"))),"—"))</f>
        <v>Gc</v>
      </c>
      <c r="AV9" s="74" t="str">
        <f aca="false">IF($C9="","",IFERROR(IF($AU9="None required","—",$AB9&amp;" "&amp;INDEX(Tables!$B$31:$B$37,MATCH($AA9-0.001,Tables!$A$31:$A$37,1))),"—"))</f>
        <v>IIA T1</v>
      </c>
      <c r="AW9" s="79" t="str">
        <f aca="false">IF($C9="","",TRIM(IF(IF(ISNUMBER($Z9),$H9&lt;$Z9-5,FALSE()),"Handled &gt;5°C below flash point — may not need zoning (unless mist/spray). ","")&amp;IF(IF(AND($D9="Pool evaporation",ISNUMBER($Y9)),$H9&gt;=$Y9,FALSE()),"Liquid at/above boiling point — pool equation not valid, treat as gas release. ","")&amp;IF(IF(AND($D9="Liquid jet",$M9="",ISNUMBER($Y9)),$H9&lt;$Y9,FALSE()),"Non-flashing liquid: vapour rate set to 0 — model the resulting pool on its own row. ","")&amp;IF(AND($D9="Gas/vapour jet",NOT(ISNUMBER($W9))),"No γ in library for this substance. ","")&amp;IF(IF(ISNUMBER($AC9),$AC9&gt;1.2,FALSE()),"Heavier than air — extend zone at low level / into pits and drains. ","")&amp;IF($AQ9="Low","Vz ≥ V0: ventilation cannot control the release — whole room affected. ","")&amp;IF(AND($F9="Indoor",OR($Q9="",$R9="")),"Indoor: enter room volume and air changes. ","")))</f>
        <v/>
      </c>
    </row>
    <row r="10" customFormat="false" ht="23.85" hidden="false" customHeight="false" outlineLevel="0" collapsed="false">
      <c r="A10" s="56" t="s">
        <v>180</v>
      </c>
      <c r="B10" s="57" t="s">
        <v>181</v>
      </c>
      <c r="C10" s="56" t="s">
        <v>5</v>
      </c>
      <c r="D10" s="56" t="s">
        <v>182</v>
      </c>
      <c r="E10" s="56" t="s">
        <v>59</v>
      </c>
      <c r="F10" s="56" t="s">
        <v>17</v>
      </c>
      <c r="G10" s="58"/>
      <c r="H10" s="59" t="n">
        <v>20</v>
      </c>
      <c r="I10" s="59" t="n">
        <v>20</v>
      </c>
      <c r="J10" s="60"/>
      <c r="K10" s="58"/>
      <c r="L10" s="58"/>
      <c r="M10" s="58"/>
      <c r="N10" s="58" t="n">
        <v>1</v>
      </c>
      <c r="O10" s="58" t="n">
        <v>0.3</v>
      </c>
      <c r="P10" s="58"/>
      <c r="Q10" s="61" t="n">
        <v>500</v>
      </c>
      <c r="R10" s="59" t="n">
        <v>6</v>
      </c>
      <c r="S10" s="59" t="n">
        <v>2</v>
      </c>
      <c r="T10" s="56" t="s">
        <v>31</v>
      </c>
      <c r="U10" s="62" t="n">
        <f aca="false">IF($C10="","",IFERROR(IF(INDEX(Substances!$C$2:$C$60,MATCH($C10,Substances!$A$2:$A$60,0))="","",INDEX(Substances!$C$2:$C$60,MATCH($C10,Substances!$A$2:$A$60,0))),"—"))</f>
        <v>92.14</v>
      </c>
      <c r="V10" s="63" t="n">
        <f aca="false">IF($C10="","",IFERROR(IF(INDEX(Substances!$D$2:$D$60,MATCH($C10,Substances!$A$2:$A$60,0))="","",INDEX(Substances!$D$2:$D$60,MATCH($C10,Substances!$A$2:$A$60,0))),"—"))</f>
        <v>1</v>
      </c>
      <c r="W10" s="62" t="str">
        <f aca="false">IF($C10="","",IFERROR(IF(INDEX(Substances!$F$2:$F$60,MATCH($C10,Substances!$A$2:$A$60,0))="","",INDEX(Substances!$F$2:$F$60,MATCH($C10,Substances!$A$2:$A$60,0))),"—"))</f>
        <v/>
      </c>
      <c r="X10" s="64" t="n">
        <f aca="false">IF($C10="","",IFERROR(IF(INDEX(Substances!$G$2:$G$60,MATCH($C10,Substances!$A$2:$A$60,0))="","",INDEX(Substances!$G$2:$G$60,MATCH($C10,Substances!$A$2:$A$60,0))),"—"))</f>
        <v>867</v>
      </c>
      <c r="Y10" s="63" t="n">
        <f aca="false">IF($C10="","",IFERROR(IF(INDEX(Substances!$H$2:$H$60,MATCH($C10,Substances!$A$2:$A$60,0))="","",INDEX(Substances!$H$2:$H$60,MATCH($C10,Substances!$A$2:$A$60,0))),"—"))</f>
        <v>110.6</v>
      </c>
      <c r="Z10" s="64" t="n">
        <f aca="false">IF($C10="","",IFERROR(IF(INDEX(Substances!$I$2:$I$60,MATCH($C10,Substances!$A$2:$A$60,0))="","",INDEX(Substances!$I$2:$I$60,MATCH($C10,Substances!$A$2:$A$60,0))),"—"))</f>
        <v>4</v>
      </c>
      <c r="AA10" s="64" t="n">
        <f aca="false">IF($C10="","",IFERROR(IF(INDEX(Substances!$J$2:$J$60,MATCH($C10,Substances!$A$2:$A$60,0))="","",INDEX(Substances!$J$2:$J$60,MATCH($C10,Substances!$A$2:$A$60,0))),"—"))</f>
        <v>480</v>
      </c>
      <c r="AB10" s="65" t="str">
        <f aca="false">IF($C10="","",IFERROR(IF(INDEX(Substances!$K$2:$K$60,MATCH($C10,Substances!$A$2:$A$60,0))="","",INDEX(Substances!$K$2:$K$60,MATCH($C10,Substances!$A$2:$A$60,0))),"—"))</f>
        <v>IIA</v>
      </c>
      <c r="AC10" s="62" t="n">
        <f aca="false">IF($C10="","",IFERROR($U10/28.96,"—"))</f>
        <v>3.18162983425414</v>
      </c>
      <c r="AD10" s="66" t="n">
        <f aca="false">IF($C10="","",IFERROR(N($G10)*100000+Tables!$B$4,"—"))</f>
        <v>101325</v>
      </c>
      <c r="AE10" s="67" t="n">
        <f aca="false">IF($C10="","",IFERROR($H10+273.15,"—"))</f>
        <v>293.15</v>
      </c>
      <c r="AF10" s="67" t="n">
        <f aca="false">IF($C10="","",IFERROR($I10+273.15,"—"))</f>
        <v>293.15</v>
      </c>
      <c r="AG10" s="66" t="str">
        <f aca="false">IF($C10="","",IFERROR(IF($D10="Gas/vapour jet",Tables!$B$4*(($W10+1)/2)^($W10/($W10-1)),"n/a"),"—"))</f>
        <v>n/a</v>
      </c>
      <c r="AH10" s="68" t="str">
        <f aca="false">IF($C10="","",IFERROR(IF($D10="Gas/vapour jet",IF($AD10&gt;$AG10,"Choked","Subsonic"),"n/a"),"—"))</f>
        <v>n/a</v>
      </c>
      <c r="AI10" s="69" t="n">
        <f aca="false">IF($C10="","",IFERROR(IF($D10="Gas/vapour jet","n/a",MIN(101.325,IF($P10&lt;&gt;"",$P10,IF(N(INDEX(Substances!$L$2:$L$60,MATCH($C10,Substances!$A$2:$A$60,0)))&lt;&gt;0,0.133322*10^(INDEX(Substances!$L$2:$L$60,MATCH($C10,Substances!$A$2:$A$60,0))-INDEX(Substances!$M$2:$M$60,MATCH($C10,Substances!$A$2:$A$60,0))/(INDEX(Substances!$N$2:$N$60,MATCH($C10,Substances!$A$2:$A$60,0))+$H10)),101.325*EXP(10.58*(1-($Y10+273.15)/$AE10)))))),"—"))</f>
        <v>2.91131009645929</v>
      </c>
      <c r="AJ10" s="70" t="str">
        <f aca="false">IF($C10="","",IFERROR(IF($D10="Liquid jet",$K10*$J10*0.000001*SQRT(2*$X10*N($G10)*100000),"n/a"),"—"))</f>
        <v>n/a</v>
      </c>
      <c r="AK10" s="71" t="n">
        <f aca="false">IF($C10="","",IFERROR(IF($D10="Gas/vapour jet",IF($AH10="Choked",$K10*$J10*0.000001*$AD10*SQRT($W10*$U10/($L10*Tables!$B$5*$AE10)*(2/($W10+1))^(($W10+1)/($W10-1))),$K10*$J10*0.000001*$AD10*SQRT($U10/($L10*Tables!$B$5*$AE10)*(2*$W10/($W10-1))*(1-(Tables!$B$4/$AD10)^(($W10-1)/$W10))*(Tables!$B$4/$AD10)^(2/$W10))),IF($D10="Liquid jet",$AJ10*IF($M10&lt;&gt;"",$M10,IF($H10&gt;=$Y10,1,0)),6.55*$O10^0.78*$N10*$AI10*$U10^0.667/(Tables!$B$5*$AE10))),"—"))</f>
        <v>6.24987571688636E-005</v>
      </c>
      <c r="AL10" s="72" t="n">
        <f aca="false">IF($C10="","",IFERROR(Tables!$B$10*$U10*$V10,"—"))</f>
        <v>0.03833024</v>
      </c>
      <c r="AM10" s="69" t="n">
        <f aca="false">IF($C10="","",IFERROR(INDEX(Tables!$B$15:$B$17,MATCH($E10,Tables!$A$15:$A$17,0)),"—"))</f>
        <v>0.25</v>
      </c>
      <c r="AN10" s="70" t="n">
        <f aca="false">IF($C10="","",IFERROR($AK10/($AM10*$AL10)*$AF10/Tables!$B$9,"—"))</f>
        <v>0.00652547472905285</v>
      </c>
      <c r="AO10" s="72" t="n">
        <f aca="false">IF($C10="","",IFERROR(IF($F10="Outdoor",Tables!$B$8,$R10/3600),"—"))</f>
        <v>0.00166666666666667</v>
      </c>
      <c r="AP10" s="73" t="n">
        <f aca="false">IF($C10="","",IFERROR($S10*$AN10/$AO10,"—"))</f>
        <v>7.83056967486342</v>
      </c>
      <c r="AQ10" s="74" t="str">
        <f aca="false">IF($C10="","",IFERROR(IF($AP10&lt;Tables!$B$7,"High",IF($F10="Outdoor","Medium",IF($AP10&lt;$Q10,"Medium","Low"))),"—"))</f>
        <v>Medium</v>
      </c>
      <c r="AR10" s="75" t="n">
        <f aca="false">IF($C10="","",IFERROR(-$S10/$AO10*LN($V10*$AM10/Tables!$B$6)/60,"—"))</f>
        <v>119.82929094216</v>
      </c>
      <c r="AS10" s="76" t="str">
        <f aca="false">IF($C10="","",IFERROR(INDEX(Tables!$B$22:$J$24,MATCH($E10,Tables!$A$22:$A$24,0),MATCH($AQ10&amp;"-"&amp;$T10,Tables!$B$21:$J$21,0)),"—"))</f>
        <v>Zone 1</v>
      </c>
      <c r="AT10" s="77" t="n">
        <f aca="false">IF($C10="","",IFERROR((3*$AP10/(2*PI()))^(1/3),"—"))</f>
        <v>1.55207098997018</v>
      </c>
      <c r="AU10" s="78" t="str">
        <f aca="false">IF($C10="","",IFERROR(IF(ISNUMBER(SEARCH("Zone 0",IFERROR(LEFT($AS10,FIND("(",$AS10)-1),$AS10))),"Ga",IF(ISNUMBER(SEARCH("Zone 1",IFERROR(LEFT($AS10,FIND("(",$AS10)-1),$AS10))),"Gb",IF(ISNUMBER(SEARCH("Zone 2",IFERROR(LEFT($AS10,FIND("(",$AS10)-1),$AS10))),"Gc","None required"))),"—"))</f>
        <v>Gb</v>
      </c>
      <c r="AV10" s="74" t="str">
        <f aca="false">IF($C10="","",IFERROR(IF($AU10="None required","—",$AB10&amp;" "&amp;INDEX(Tables!$B$31:$B$37,MATCH($AA10-0.001,Tables!$A$31:$A$37,1))),"—"))</f>
        <v>IIA T1</v>
      </c>
      <c r="AW10" s="79" t="str">
        <f aca="false">IF($C10="","",TRIM(IF(IF(ISNUMBER($Z10),$H10&lt;$Z10-5,FALSE()),"Handled &gt;5°C below flash point — may not need zoning (unless mist/spray). ","")&amp;IF(IF(AND($D10="Pool evaporation",ISNUMBER($Y10)),$H10&gt;=$Y10,FALSE()),"Liquid at/above boiling point — pool equation not valid, treat as gas release. ","")&amp;IF(IF(AND($D10="Liquid jet",$M10="",ISNUMBER($Y10)),$H10&lt;$Y10,FALSE()),"Non-flashing liquid: vapour rate set to 0 — model the resulting pool on its own row. ","")&amp;IF(AND($D10="Gas/vapour jet",NOT(ISNUMBER($W10))),"No γ in library for this substance. ","")&amp;IF(IF(ISNUMBER($AC10),$AC10&gt;1.2,FALSE()),"Heavier than air — extend zone at low level / into pits and drains. ","")&amp;IF($AQ10="Low","Vz ≥ V0: ventilation cannot control the release — whole room affected. ","")&amp;IF(AND($F10="Indoor",OR($Q10="",$R10="")),"Indoor: enter room volume and air changes. ","")))</f>
        <v>Heavier than air — extend zone at low level / into pits and drains.</v>
      </c>
    </row>
    <row r="11" customFormat="false" ht="23.85" hidden="false" customHeight="false" outlineLevel="0" collapsed="false">
      <c r="A11" s="56" t="s">
        <v>183</v>
      </c>
      <c r="B11" s="57" t="s">
        <v>184</v>
      </c>
      <c r="C11" s="56" t="s">
        <v>185</v>
      </c>
      <c r="D11" s="56" t="s">
        <v>186</v>
      </c>
      <c r="E11" s="56" t="s">
        <v>57</v>
      </c>
      <c r="F11" s="56" t="s">
        <v>175</v>
      </c>
      <c r="G11" s="58" t="n">
        <v>3</v>
      </c>
      <c r="H11" s="59" t="n">
        <v>20</v>
      </c>
      <c r="I11" s="59" t="n">
        <v>20</v>
      </c>
      <c r="J11" s="60" t="n">
        <v>0.25</v>
      </c>
      <c r="K11" s="58" t="n">
        <v>0.75</v>
      </c>
      <c r="L11" s="58"/>
      <c r="M11" s="58"/>
      <c r="N11" s="58"/>
      <c r="O11" s="58"/>
      <c r="P11" s="58"/>
      <c r="Q11" s="61"/>
      <c r="R11" s="59"/>
      <c r="S11" s="59" t="n">
        <v>1</v>
      </c>
      <c r="T11" s="56" t="s">
        <v>31</v>
      </c>
      <c r="U11" s="62" t="n">
        <f aca="false">IF($C11="","",IFERROR(IF(INDEX(Substances!$C$2:$C$60,MATCH($C11,Substances!$A$2:$A$60,0))="","",INDEX(Substances!$C$2:$C$60,MATCH($C11,Substances!$A$2:$A$60,0))),"—"))</f>
        <v>58.12</v>
      </c>
      <c r="V11" s="63" t="n">
        <f aca="false">IF($C11="","",IFERROR(IF(INDEX(Substances!$D$2:$D$60,MATCH($C11,Substances!$A$2:$A$60,0))="","",INDEX(Substances!$D$2:$D$60,MATCH($C11,Substances!$A$2:$A$60,0))),"—"))</f>
        <v>1.4</v>
      </c>
      <c r="W11" s="62" t="n">
        <f aca="false">IF($C11="","",IFERROR(IF(INDEX(Substances!$F$2:$F$60,MATCH($C11,Substances!$A$2:$A$60,0))="","",INDEX(Substances!$F$2:$F$60,MATCH($C11,Substances!$A$2:$A$60,0))),"—"))</f>
        <v>1.1</v>
      </c>
      <c r="X11" s="64" t="n">
        <f aca="false">IF($C11="","",IFERROR(IF(INDEX(Substances!$G$2:$G$60,MATCH($C11,Substances!$A$2:$A$60,0))="","",INDEX(Substances!$G$2:$G$60,MATCH($C11,Substances!$A$2:$A$60,0))),"—"))</f>
        <v>579</v>
      </c>
      <c r="Y11" s="63" t="n">
        <f aca="false">IF($C11="","",IFERROR(IF(INDEX(Substances!$H$2:$H$60,MATCH($C11,Substances!$A$2:$A$60,0))="","",INDEX(Substances!$H$2:$H$60,MATCH($C11,Substances!$A$2:$A$60,0))),"—"))</f>
        <v>-0.5</v>
      </c>
      <c r="Z11" s="64" t="str">
        <f aca="false">IF($C11="","",IFERROR(IF(INDEX(Substances!$I$2:$I$60,MATCH($C11,Substances!$A$2:$A$60,0))="","",INDEX(Substances!$I$2:$I$60,MATCH($C11,Substances!$A$2:$A$60,0))),"—"))</f>
        <v/>
      </c>
      <c r="AA11" s="64" t="n">
        <f aca="false">IF($C11="","",IFERROR(IF(INDEX(Substances!$J$2:$J$60,MATCH($C11,Substances!$A$2:$A$60,0))="","",INDEX(Substances!$J$2:$J$60,MATCH($C11,Substances!$A$2:$A$60,0))),"—"))</f>
        <v>372</v>
      </c>
      <c r="AB11" s="65" t="str">
        <f aca="false">IF($C11="","",IFERROR(IF(INDEX(Substances!$K$2:$K$60,MATCH($C11,Substances!$A$2:$A$60,0))="","",INDEX(Substances!$K$2:$K$60,MATCH($C11,Substances!$A$2:$A$60,0))),"—"))</f>
        <v>IIA</v>
      </c>
      <c r="AC11" s="62" t="n">
        <f aca="false">IF($C11="","",IFERROR($U11/28.96,"—"))</f>
        <v>2.00690607734807</v>
      </c>
      <c r="AD11" s="66" t="n">
        <f aca="false">IF($C11="","",IFERROR(N($G11)*100000+Tables!$B$4,"—"))</f>
        <v>401325</v>
      </c>
      <c r="AE11" s="67" t="n">
        <f aca="false">IF($C11="","",IFERROR($H11+273.15,"—"))</f>
        <v>293.15</v>
      </c>
      <c r="AF11" s="67" t="n">
        <f aca="false">IF($C11="","",IFERROR($I11+273.15,"—"))</f>
        <v>293.15</v>
      </c>
      <c r="AG11" s="66" t="str">
        <f aca="false">IF($C11="","",IFERROR(IF($D11="Gas/vapour jet",Tables!$B$4*(($W11+1)/2)^($W11/($W11-1)),"n/a"),"—"))</f>
        <v>n/a</v>
      </c>
      <c r="AH11" s="68" t="str">
        <f aca="false">IF($C11="","",IFERROR(IF($D11="Gas/vapour jet",IF($AD11&gt;$AG11,"Choked","Subsonic"),"n/a"),"—"))</f>
        <v>n/a</v>
      </c>
      <c r="AI11" s="69" t="n">
        <f aca="false">IF($C11="","",IFERROR(IF($D11="Gas/vapour jet","n/a",MIN(101.325,IF($P11&lt;&gt;"",$P11,IF(N(INDEX(Substances!$L$2:$L$60,MATCH($C11,Substances!$A$2:$A$60,0)))&lt;&gt;0,0.133322*10^(INDEX(Substances!$L$2:$L$60,MATCH($C11,Substances!$A$2:$A$60,0))-INDEX(Substances!$M$2:$M$60,MATCH($C11,Substances!$A$2:$A$60,0))/(INDEX(Substances!$N$2:$N$60,MATCH($C11,Substances!$A$2:$A$60,0))+$H11)),101.325*EXP(10.58*(1-($Y11+273.15)/$AE11)))))),"—"))</f>
        <v>101.325</v>
      </c>
      <c r="AJ11" s="70" t="n">
        <f aca="false">IF($C11="","",IFERROR(IF($D11="Liquid jet",$K11*$J11*0.000001*SQRT(2*$X11*N($G11)*100000),"n/a"),"—"))</f>
        <v>0.00349475052757704</v>
      </c>
      <c r="AK11" s="71" t="n">
        <f aca="false">IF($C11="","",IFERROR(IF($D11="Gas/vapour jet",IF($AH11="Choked",$K11*$J11*0.000001*$AD11*SQRT($W11*$U11/($L11*Tables!$B$5*$AE11)*(2/($W11+1))^(($W11+1)/($W11-1))),$K11*$J11*0.000001*$AD11*SQRT($U11/($L11*Tables!$B$5*$AE11)*(2*$W11/($W11-1))*(1-(Tables!$B$4/$AD11)^(($W11-1)/$W11))*(Tables!$B$4/$AD11)^(2/$W11))),IF($D11="Liquid jet",$AJ11*IF($M11&lt;&gt;"",$M11,IF($H11&gt;=$Y11,1,0)),6.55*$O11^0.78*$N11*$AI11*$U11^0.667/(Tables!$B$5*$AE11))),"—"))</f>
        <v>0.00349475052757704</v>
      </c>
      <c r="AL11" s="72" t="n">
        <f aca="false">IF($C11="","",IFERROR(Tables!$B$10*$U11*$V11,"—"))</f>
        <v>0.033849088</v>
      </c>
      <c r="AM11" s="69" t="n">
        <f aca="false">IF($C11="","",IFERROR(INDEX(Tables!$B$15:$B$17,MATCH($E11,Tables!$A$15:$A$17,0)),"—"))</f>
        <v>0.5</v>
      </c>
      <c r="AN11" s="70" t="n">
        <f aca="false">IF($C11="","",IFERROR($AK11/($AM11*$AL11)*$AF11/Tables!$B$9,"—"))</f>
        <v>0.206595796554846</v>
      </c>
      <c r="AO11" s="72" t="n">
        <f aca="false">IF($C11="","",IFERROR(IF($F11="Outdoor",Tables!$B$8,$R11/3600),"—"))</f>
        <v>0.03</v>
      </c>
      <c r="AP11" s="73" t="n">
        <f aca="false">IF($C11="","",IFERROR($S11*$AN11/$AO11,"—"))</f>
        <v>6.8865265518282</v>
      </c>
      <c r="AQ11" s="74" t="str">
        <f aca="false">IF($C11="","",IFERROR(IF($AP11&lt;Tables!$B$7,"High",IF($F11="Outdoor","Medium",IF($AP11&lt;$Q11,"Medium","Low"))),"—"))</f>
        <v>Medium</v>
      </c>
      <c r="AR11" s="75" t="n">
        <f aca="false">IF($C11="","",IFERROR(-$S11/$AO11*LN($V11*$AM11/Tables!$B$6)/60,"—"))</f>
        <v>2.75658062773712</v>
      </c>
      <c r="AS11" s="76" t="str">
        <f aca="false">IF($C11="","",IFERROR(INDEX(Tables!$B$22:$J$24,MATCH($E11,Tables!$A$22:$A$24,0),MATCH($AQ11&amp;"-"&amp;$T11,Tables!$B$21:$J$21,0)),"—"))</f>
        <v>Zone 2</v>
      </c>
      <c r="AT11" s="77" t="n">
        <f aca="false">IF($C11="","",IFERROR((3*$AP11/(2*PI()))^(1/3),"—"))</f>
        <v>1.48700993756856</v>
      </c>
      <c r="AU11" s="78" t="str">
        <f aca="false">IF($C11="","",IFERROR(IF(ISNUMBER(SEARCH("Zone 0",IFERROR(LEFT($AS11,FIND("(",$AS11)-1),$AS11))),"Ga",IF(ISNUMBER(SEARCH("Zone 1",IFERROR(LEFT($AS11,FIND("(",$AS11)-1),$AS11))),"Gb",IF(ISNUMBER(SEARCH("Zone 2",IFERROR(LEFT($AS11,FIND("(",$AS11)-1),$AS11))),"Gc","None required"))),"—"))</f>
        <v>Gc</v>
      </c>
      <c r="AV11" s="74" t="str">
        <f aca="false">IF($C11="","",IFERROR(IF($AU11="None required","—",$AB11&amp;" "&amp;INDEX(Tables!$B$31:$B$37,MATCH($AA11-0.001,Tables!$A$31:$A$37,1))),"—"))</f>
        <v>IIA T2</v>
      </c>
      <c r="AW11" s="79" t="str">
        <f aca="false">IF($C11="","",TRIM(IF(IF(ISNUMBER($Z11),$H11&lt;$Z11-5,FALSE()),"Handled &gt;5°C below flash point — may not need zoning (unless mist/spray). ","")&amp;IF(IF(AND($D11="Pool evaporation",ISNUMBER($Y11)),$H11&gt;=$Y11,FALSE()),"Liquid at/above boiling point — pool equation not valid, treat as gas release. ","")&amp;IF(IF(AND($D11="Liquid jet",$M11="",ISNUMBER($Y11)),$H11&lt;$Y11,FALSE()),"Non-flashing liquid: vapour rate set to 0 — model the resulting pool on its own row. ","")&amp;IF(AND($D11="Gas/vapour jet",NOT(ISNUMBER($W11))),"No γ in library for this substance. ","")&amp;IF(IF(ISNUMBER($AC11),$AC11&gt;1.2,FALSE()),"Heavier than air — extend zone at low level / into pits and drains. ","")&amp;IF($AQ11="Low","Vz ≥ V0: ventilation cannot control the release — whole room affected. ","")&amp;IF(AND($F11="Indoor",OR($Q11="",$R11="")),"Indoor: enter room volume and air changes. ","")))</f>
        <v>Heavier than air — extend zone at low level / into pits and drains.</v>
      </c>
    </row>
    <row r="12" customFormat="false" ht="15" hidden="false" customHeight="false" outlineLevel="0" collapsed="false">
      <c r="A12" s="56"/>
      <c r="B12" s="57"/>
      <c r="C12" s="56"/>
      <c r="D12" s="56"/>
      <c r="E12" s="56"/>
      <c r="F12" s="56"/>
      <c r="G12" s="58"/>
      <c r="H12" s="59"/>
      <c r="I12" s="59"/>
      <c r="J12" s="60"/>
      <c r="K12" s="58"/>
      <c r="L12" s="58"/>
      <c r="M12" s="58"/>
      <c r="N12" s="58"/>
      <c r="O12" s="58"/>
      <c r="P12" s="58"/>
      <c r="Q12" s="61"/>
      <c r="R12" s="59"/>
      <c r="S12" s="59"/>
      <c r="T12" s="56"/>
      <c r="U12" s="62" t="str">
        <f aca="false">IF($C12="","",IFERROR(IF(INDEX(Substances!$C$2:$C$60,MATCH($C12,Substances!$A$2:$A$60,0))="","",INDEX(Substances!$C$2:$C$60,MATCH($C12,Substances!$A$2:$A$60,0))),"—"))</f>
        <v/>
      </c>
      <c r="V12" s="63" t="str">
        <f aca="false">IF($C12="","",IFERROR(IF(INDEX(Substances!$D$2:$D$60,MATCH($C12,Substances!$A$2:$A$60,0))="","",INDEX(Substances!$D$2:$D$60,MATCH($C12,Substances!$A$2:$A$60,0))),"—"))</f>
        <v/>
      </c>
      <c r="W12" s="62" t="str">
        <f aca="false">IF($C12="","",IFERROR(IF(INDEX(Substances!$F$2:$F$60,MATCH($C12,Substances!$A$2:$A$60,0))="","",INDEX(Substances!$F$2:$F$60,MATCH($C12,Substances!$A$2:$A$60,0))),"—"))</f>
        <v/>
      </c>
      <c r="X12" s="64" t="str">
        <f aca="false">IF($C12="","",IFERROR(IF(INDEX(Substances!$G$2:$G$60,MATCH($C12,Substances!$A$2:$A$60,0))="","",INDEX(Substances!$G$2:$G$60,MATCH($C12,Substances!$A$2:$A$60,0))),"—"))</f>
        <v/>
      </c>
      <c r="Y12" s="63" t="str">
        <f aca="false">IF($C12="","",IFERROR(IF(INDEX(Substances!$H$2:$H$60,MATCH($C12,Substances!$A$2:$A$60,0))="","",INDEX(Substances!$H$2:$H$60,MATCH($C12,Substances!$A$2:$A$60,0))),"—"))</f>
        <v/>
      </c>
      <c r="Z12" s="64" t="str">
        <f aca="false">IF($C12="","",IFERROR(IF(INDEX(Substances!$I$2:$I$60,MATCH($C12,Substances!$A$2:$A$60,0))="","",INDEX(Substances!$I$2:$I$60,MATCH($C12,Substances!$A$2:$A$60,0))),"—"))</f>
        <v/>
      </c>
      <c r="AA12" s="64" t="str">
        <f aca="false">IF($C12="","",IFERROR(IF(INDEX(Substances!$J$2:$J$60,MATCH($C12,Substances!$A$2:$A$60,0))="","",INDEX(Substances!$J$2:$J$60,MATCH($C12,Substances!$A$2:$A$60,0))),"—"))</f>
        <v/>
      </c>
      <c r="AB12" s="65" t="str">
        <f aca="false">IF($C12="","",IFERROR(IF(INDEX(Substances!$K$2:$K$60,MATCH($C12,Substances!$A$2:$A$60,0))="","",INDEX(Substances!$K$2:$K$60,MATCH($C12,Substances!$A$2:$A$60,0))),"—"))</f>
        <v/>
      </c>
      <c r="AC12" s="62" t="str">
        <f aca="false">IF($C12="","",IFERROR($U12/28.96,"—"))</f>
        <v/>
      </c>
      <c r="AD12" s="66" t="str">
        <f aca="false">IF($C12="","",IFERROR(N($G12)*100000+Tables!$B$4,"—"))</f>
        <v/>
      </c>
      <c r="AE12" s="67" t="str">
        <f aca="false">IF($C12="","",IFERROR($H12+273.15,"—"))</f>
        <v/>
      </c>
      <c r="AF12" s="67" t="str">
        <f aca="false">IF($C12="","",IFERROR($I12+273.15,"—"))</f>
        <v/>
      </c>
      <c r="AG12" s="66" t="str">
        <f aca="false">IF($C12="","",IFERROR(IF($D12="Gas/vapour jet",Tables!$B$4*(($W12+1)/2)^($W12/($W12-1)),"n/a"),"—"))</f>
        <v/>
      </c>
      <c r="AH12" s="68" t="str">
        <f aca="false">IF($C12="","",IFERROR(IF($D12="Gas/vapour jet",IF($AD12&gt;$AG12,"Choked","Subsonic"),"n/a"),"—"))</f>
        <v/>
      </c>
      <c r="AI12" s="69" t="str">
        <f aca="false">IF($C12="","",IFERROR(IF($D12="Gas/vapour jet","n/a",MIN(101.325,IF($P12&lt;&gt;"",$P12,IF(N(INDEX(Substances!$L$2:$L$60,MATCH($C12,Substances!$A$2:$A$60,0)))&lt;&gt;0,0.133322*10^(INDEX(Substances!$L$2:$L$60,MATCH($C12,Substances!$A$2:$A$60,0))-INDEX(Substances!$M$2:$M$60,MATCH($C12,Substances!$A$2:$A$60,0))/(INDEX(Substances!$N$2:$N$60,MATCH($C12,Substances!$A$2:$A$60,0))+$H12)),101.325*EXP(10.58*(1-($Y12+273.15)/$AE12)))))),"—"))</f>
        <v/>
      </c>
      <c r="AJ12" s="70" t="str">
        <f aca="false">IF($C12="","",IFERROR(IF($D12="Liquid jet",$K12*$J12*0.000001*SQRT(2*$X12*N($G12)*100000),"n/a"),"—"))</f>
        <v/>
      </c>
      <c r="AK12" s="71" t="str">
        <f aca="false">IF($C12="","",IFERROR(IF($D12="Gas/vapour jet",IF($AH12="Choked",$K12*$J12*0.000001*$AD12*SQRT($W12*$U12/($L12*Tables!$B$5*$AE12)*(2/($W12+1))^(($W12+1)/($W12-1))),$K12*$J12*0.000001*$AD12*SQRT($U12/($L12*Tables!$B$5*$AE12)*(2*$W12/($W12-1))*(1-(Tables!$B$4/$AD12)^(($W12-1)/$W12))*(Tables!$B$4/$AD12)^(2/$W12))),IF($D12="Liquid jet",$AJ12*IF($M12&lt;&gt;"",$M12,IF($H12&gt;=$Y12,1,0)),6.55*$O12^0.78*$N12*$AI12*$U12^0.667/(Tables!$B$5*$AE12))),"—"))</f>
        <v/>
      </c>
      <c r="AL12" s="72" t="str">
        <f aca="false">IF($C12="","",IFERROR(Tables!$B$10*$U12*$V12,"—"))</f>
        <v/>
      </c>
      <c r="AM12" s="69" t="str">
        <f aca="false">IF($C12="","",IFERROR(INDEX(Tables!$B$15:$B$17,MATCH($E12,Tables!$A$15:$A$17,0)),"—"))</f>
        <v/>
      </c>
      <c r="AN12" s="70" t="str">
        <f aca="false">IF($C12="","",IFERROR($AK12/($AM12*$AL12)*$AF12/Tables!$B$9,"—"))</f>
        <v/>
      </c>
      <c r="AO12" s="72" t="str">
        <f aca="false">IF($C12="","",IFERROR(IF($F12="Outdoor",Tables!$B$8,$R12/3600),"—"))</f>
        <v/>
      </c>
      <c r="AP12" s="73" t="str">
        <f aca="false">IF($C12="","",IFERROR($S12*$AN12/$AO12,"—"))</f>
        <v/>
      </c>
      <c r="AQ12" s="74" t="str">
        <f aca="false">IF($C12="","",IFERROR(IF($AP12&lt;Tables!$B$7,"High",IF($F12="Outdoor","Medium",IF($AP12&lt;$Q12,"Medium","Low"))),"—"))</f>
        <v/>
      </c>
      <c r="AR12" s="75" t="str">
        <f aca="false">IF($C12="","",IFERROR(-$S12/$AO12*LN($V12*$AM12/Tables!$B$6)/60,"—"))</f>
        <v/>
      </c>
      <c r="AS12" s="76" t="str">
        <f aca="false">IF($C12="","",IFERROR(INDEX(Tables!$B$22:$J$24,MATCH($E12,Tables!$A$22:$A$24,0),MATCH($AQ12&amp;"-"&amp;$T12,Tables!$B$21:$J$21,0)),"—"))</f>
        <v/>
      </c>
      <c r="AT12" s="77" t="str">
        <f aca="false">IF($C12="","",IFERROR((3*$AP12/(2*PI()))^(1/3),"—"))</f>
        <v/>
      </c>
      <c r="AU12" s="78" t="str">
        <f aca="false">IF($C12="","",IFERROR(IF(ISNUMBER(SEARCH("Zone 0",IFERROR(LEFT($AS12,FIND("(",$AS12)-1),$AS12))),"Ga",IF(ISNUMBER(SEARCH("Zone 1",IFERROR(LEFT($AS12,FIND("(",$AS12)-1),$AS12))),"Gb",IF(ISNUMBER(SEARCH("Zone 2",IFERROR(LEFT($AS12,FIND("(",$AS12)-1),$AS12))),"Gc","None required"))),"—"))</f>
        <v/>
      </c>
      <c r="AV12" s="74" t="str">
        <f aca="false">IF($C12="","",IFERROR(IF($AU12="None required","—",$AB12&amp;" "&amp;INDEX(Tables!$B$31:$B$37,MATCH($AA12-0.001,Tables!$A$31:$A$37,1))),"—"))</f>
        <v/>
      </c>
      <c r="AW12" s="79" t="str">
        <f aca="false">IF($C12="","",TRIM(IF(IF(ISNUMBER($Z12),$H12&lt;$Z12-5,FALSE()),"Handled &gt;5°C below flash point — may not need zoning (unless mist/spray). ","")&amp;IF(IF(AND($D12="Pool evaporation",ISNUMBER($Y12)),$H12&gt;=$Y12,FALSE()),"Liquid at/above boiling point — pool equation not valid, treat as gas release. ","")&amp;IF(IF(AND($D12="Liquid jet",$M12="",ISNUMBER($Y12)),$H12&lt;$Y12,FALSE()),"Non-flashing liquid: vapour rate set to 0 — model the resulting pool on its own row. ","")&amp;IF(AND($D12="Gas/vapour jet",NOT(ISNUMBER($W12))),"No γ in library for this substance. ","")&amp;IF(IF(ISNUMBER($AC12),$AC12&gt;1.2,FALSE()),"Heavier than air — extend zone at low level / into pits and drains. ","")&amp;IF($AQ12="Low","Vz ≥ V0: ventilation cannot control the release — whole room affected. ","")&amp;IF(AND($F12="Indoor",OR($Q12="",$R12="")),"Indoor: enter room volume and air changes. ","")))</f>
        <v/>
      </c>
    </row>
    <row r="13" customFormat="false" ht="15" hidden="false" customHeight="false" outlineLevel="0" collapsed="false">
      <c r="A13" s="56"/>
      <c r="B13" s="57"/>
      <c r="C13" s="56"/>
      <c r="D13" s="56"/>
      <c r="E13" s="56"/>
      <c r="F13" s="56"/>
      <c r="G13" s="58"/>
      <c r="H13" s="59"/>
      <c r="I13" s="59"/>
      <c r="J13" s="60"/>
      <c r="K13" s="58"/>
      <c r="L13" s="58"/>
      <c r="M13" s="58"/>
      <c r="N13" s="58"/>
      <c r="O13" s="58"/>
      <c r="P13" s="58"/>
      <c r="Q13" s="61"/>
      <c r="R13" s="59"/>
      <c r="S13" s="59"/>
      <c r="T13" s="56"/>
      <c r="U13" s="62" t="str">
        <f aca="false">IF($C13="","",IFERROR(IF(INDEX(Substances!$C$2:$C$60,MATCH($C13,Substances!$A$2:$A$60,0))="","",INDEX(Substances!$C$2:$C$60,MATCH($C13,Substances!$A$2:$A$60,0))),"—"))</f>
        <v/>
      </c>
      <c r="V13" s="63" t="str">
        <f aca="false">IF($C13="","",IFERROR(IF(INDEX(Substances!$D$2:$D$60,MATCH($C13,Substances!$A$2:$A$60,0))="","",INDEX(Substances!$D$2:$D$60,MATCH($C13,Substances!$A$2:$A$60,0))),"—"))</f>
        <v/>
      </c>
      <c r="W13" s="62" t="str">
        <f aca="false">IF($C13="","",IFERROR(IF(INDEX(Substances!$F$2:$F$60,MATCH($C13,Substances!$A$2:$A$60,0))="","",INDEX(Substances!$F$2:$F$60,MATCH($C13,Substances!$A$2:$A$60,0))),"—"))</f>
        <v/>
      </c>
      <c r="X13" s="64" t="str">
        <f aca="false">IF($C13="","",IFERROR(IF(INDEX(Substances!$G$2:$G$60,MATCH($C13,Substances!$A$2:$A$60,0))="","",INDEX(Substances!$G$2:$G$60,MATCH($C13,Substances!$A$2:$A$60,0))),"—"))</f>
        <v/>
      </c>
      <c r="Y13" s="63" t="str">
        <f aca="false">IF($C13="","",IFERROR(IF(INDEX(Substances!$H$2:$H$60,MATCH($C13,Substances!$A$2:$A$60,0))="","",INDEX(Substances!$H$2:$H$60,MATCH($C13,Substances!$A$2:$A$60,0))),"—"))</f>
        <v/>
      </c>
      <c r="Z13" s="64" t="str">
        <f aca="false">IF($C13="","",IFERROR(IF(INDEX(Substances!$I$2:$I$60,MATCH($C13,Substances!$A$2:$A$60,0))="","",INDEX(Substances!$I$2:$I$60,MATCH($C13,Substances!$A$2:$A$60,0))),"—"))</f>
        <v/>
      </c>
      <c r="AA13" s="64" t="str">
        <f aca="false">IF($C13="","",IFERROR(IF(INDEX(Substances!$J$2:$J$60,MATCH($C13,Substances!$A$2:$A$60,0))="","",INDEX(Substances!$J$2:$J$60,MATCH($C13,Substances!$A$2:$A$60,0))),"—"))</f>
        <v/>
      </c>
      <c r="AB13" s="65" t="str">
        <f aca="false">IF($C13="","",IFERROR(IF(INDEX(Substances!$K$2:$K$60,MATCH($C13,Substances!$A$2:$A$60,0))="","",INDEX(Substances!$K$2:$K$60,MATCH($C13,Substances!$A$2:$A$60,0))),"—"))</f>
        <v/>
      </c>
      <c r="AC13" s="62" t="str">
        <f aca="false">IF($C13="","",IFERROR($U13/28.96,"—"))</f>
        <v/>
      </c>
      <c r="AD13" s="66" t="str">
        <f aca="false">IF($C13="","",IFERROR(N($G13)*100000+Tables!$B$4,"—"))</f>
        <v/>
      </c>
      <c r="AE13" s="67" t="str">
        <f aca="false">IF($C13="","",IFERROR($H13+273.15,"—"))</f>
        <v/>
      </c>
      <c r="AF13" s="67" t="str">
        <f aca="false">IF($C13="","",IFERROR($I13+273.15,"—"))</f>
        <v/>
      </c>
      <c r="AG13" s="66" t="str">
        <f aca="false">IF($C13="","",IFERROR(IF($D13="Gas/vapour jet",Tables!$B$4*(($W13+1)/2)^($W13/($W13-1)),"n/a"),"—"))</f>
        <v/>
      </c>
      <c r="AH13" s="68" t="str">
        <f aca="false">IF($C13="","",IFERROR(IF($D13="Gas/vapour jet",IF($AD13&gt;$AG13,"Choked","Subsonic"),"n/a"),"—"))</f>
        <v/>
      </c>
      <c r="AI13" s="69" t="str">
        <f aca="false">IF($C13="","",IFERROR(IF($D13="Gas/vapour jet","n/a",MIN(101.325,IF($P13&lt;&gt;"",$P13,IF(N(INDEX(Substances!$L$2:$L$60,MATCH($C13,Substances!$A$2:$A$60,0)))&lt;&gt;0,0.133322*10^(INDEX(Substances!$L$2:$L$60,MATCH($C13,Substances!$A$2:$A$60,0))-INDEX(Substances!$M$2:$M$60,MATCH($C13,Substances!$A$2:$A$60,0))/(INDEX(Substances!$N$2:$N$60,MATCH($C13,Substances!$A$2:$A$60,0))+$H13)),101.325*EXP(10.58*(1-($Y13+273.15)/$AE13)))))),"—"))</f>
        <v/>
      </c>
      <c r="AJ13" s="70" t="str">
        <f aca="false">IF($C13="","",IFERROR(IF($D13="Liquid jet",$K13*$J13*0.000001*SQRT(2*$X13*N($G13)*100000),"n/a"),"—"))</f>
        <v/>
      </c>
      <c r="AK13" s="71" t="str">
        <f aca="false">IF($C13="","",IFERROR(IF($D13="Gas/vapour jet",IF($AH13="Choked",$K13*$J13*0.000001*$AD13*SQRT($W13*$U13/($L13*Tables!$B$5*$AE13)*(2/($W13+1))^(($W13+1)/($W13-1))),$K13*$J13*0.000001*$AD13*SQRT($U13/($L13*Tables!$B$5*$AE13)*(2*$W13/($W13-1))*(1-(Tables!$B$4/$AD13)^(($W13-1)/$W13))*(Tables!$B$4/$AD13)^(2/$W13))),IF($D13="Liquid jet",$AJ13*IF($M13&lt;&gt;"",$M13,IF($H13&gt;=$Y13,1,0)),6.55*$O13^0.78*$N13*$AI13*$U13^0.667/(Tables!$B$5*$AE13))),"—"))</f>
        <v/>
      </c>
      <c r="AL13" s="72" t="str">
        <f aca="false">IF($C13="","",IFERROR(Tables!$B$10*$U13*$V13,"—"))</f>
        <v/>
      </c>
      <c r="AM13" s="69" t="str">
        <f aca="false">IF($C13="","",IFERROR(INDEX(Tables!$B$15:$B$17,MATCH($E13,Tables!$A$15:$A$17,0)),"—"))</f>
        <v/>
      </c>
      <c r="AN13" s="70" t="str">
        <f aca="false">IF($C13="","",IFERROR($AK13/($AM13*$AL13)*$AF13/Tables!$B$9,"—"))</f>
        <v/>
      </c>
      <c r="AO13" s="72" t="str">
        <f aca="false">IF($C13="","",IFERROR(IF($F13="Outdoor",Tables!$B$8,$R13/3600),"—"))</f>
        <v/>
      </c>
      <c r="AP13" s="73" t="str">
        <f aca="false">IF($C13="","",IFERROR($S13*$AN13/$AO13,"—"))</f>
        <v/>
      </c>
      <c r="AQ13" s="74" t="str">
        <f aca="false">IF($C13="","",IFERROR(IF($AP13&lt;Tables!$B$7,"High",IF($F13="Outdoor","Medium",IF($AP13&lt;$Q13,"Medium","Low"))),"—"))</f>
        <v/>
      </c>
      <c r="AR13" s="75" t="str">
        <f aca="false">IF($C13="","",IFERROR(-$S13/$AO13*LN($V13*$AM13/Tables!$B$6)/60,"—"))</f>
        <v/>
      </c>
      <c r="AS13" s="76" t="str">
        <f aca="false">IF($C13="","",IFERROR(INDEX(Tables!$B$22:$J$24,MATCH($E13,Tables!$A$22:$A$24,0),MATCH($AQ13&amp;"-"&amp;$T13,Tables!$B$21:$J$21,0)),"—"))</f>
        <v/>
      </c>
      <c r="AT13" s="77" t="str">
        <f aca="false">IF($C13="","",IFERROR((3*$AP13/(2*PI()))^(1/3),"—"))</f>
        <v/>
      </c>
      <c r="AU13" s="78" t="str">
        <f aca="false">IF($C13="","",IFERROR(IF(ISNUMBER(SEARCH("Zone 0",IFERROR(LEFT($AS13,FIND("(",$AS13)-1),$AS13))),"Ga",IF(ISNUMBER(SEARCH("Zone 1",IFERROR(LEFT($AS13,FIND("(",$AS13)-1),$AS13))),"Gb",IF(ISNUMBER(SEARCH("Zone 2",IFERROR(LEFT($AS13,FIND("(",$AS13)-1),$AS13))),"Gc","None required"))),"—"))</f>
        <v/>
      </c>
      <c r="AV13" s="74" t="str">
        <f aca="false">IF($C13="","",IFERROR(IF($AU13="None required","—",$AB13&amp;" "&amp;INDEX(Tables!$B$31:$B$37,MATCH($AA13-0.001,Tables!$A$31:$A$37,1))),"—"))</f>
        <v/>
      </c>
      <c r="AW13" s="79" t="str">
        <f aca="false">IF($C13="","",TRIM(IF(IF(ISNUMBER($Z13),$H13&lt;$Z13-5,FALSE()),"Handled &gt;5°C below flash point — may not need zoning (unless mist/spray). ","")&amp;IF(IF(AND($D13="Pool evaporation",ISNUMBER($Y13)),$H13&gt;=$Y13,FALSE()),"Liquid at/above boiling point — pool equation not valid, treat as gas release. ","")&amp;IF(IF(AND($D13="Liquid jet",$M13="",ISNUMBER($Y13)),$H13&lt;$Y13,FALSE()),"Non-flashing liquid: vapour rate set to 0 — model the resulting pool on its own row. ","")&amp;IF(AND($D13="Gas/vapour jet",NOT(ISNUMBER($W13))),"No γ in library for this substance. ","")&amp;IF(IF(ISNUMBER($AC13),$AC13&gt;1.2,FALSE()),"Heavier than air — extend zone at low level / into pits and drains. ","")&amp;IF($AQ13="Low","Vz ≥ V0: ventilation cannot control the release — whole room affected. ","")&amp;IF(AND($F13="Indoor",OR($Q13="",$R13="")),"Indoor: enter room volume and air changes. ","")))</f>
        <v/>
      </c>
    </row>
    <row r="14" customFormat="false" ht="15" hidden="false" customHeight="false" outlineLevel="0" collapsed="false">
      <c r="A14" s="56"/>
      <c r="B14" s="57"/>
      <c r="C14" s="56"/>
      <c r="D14" s="56"/>
      <c r="E14" s="56"/>
      <c r="F14" s="56"/>
      <c r="G14" s="58"/>
      <c r="H14" s="59"/>
      <c r="I14" s="59"/>
      <c r="J14" s="60"/>
      <c r="K14" s="58"/>
      <c r="L14" s="58"/>
      <c r="M14" s="58"/>
      <c r="N14" s="58"/>
      <c r="O14" s="58"/>
      <c r="P14" s="58"/>
      <c r="Q14" s="61"/>
      <c r="R14" s="59"/>
      <c r="S14" s="59"/>
      <c r="T14" s="56"/>
      <c r="U14" s="62" t="str">
        <f aca="false">IF($C14="","",IFERROR(IF(INDEX(Substances!$C$2:$C$60,MATCH($C14,Substances!$A$2:$A$60,0))="","",INDEX(Substances!$C$2:$C$60,MATCH($C14,Substances!$A$2:$A$60,0))),"—"))</f>
        <v/>
      </c>
      <c r="V14" s="63" t="str">
        <f aca="false">IF($C14="","",IFERROR(IF(INDEX(Substances!$D$2:$D$60,MATCH($C14,Substances!$A$2:$A$60,0))="","",INDEX(Substances!$D$2:$D$60,MATCH($C14,Substances!$A$2:$A$60,0))),"—"))</f>
        <v/>
      </c>
      <c r="W14" s="62" t="str">
        <f aca="false">IF($C14="","",IFERROR(IF(INDEX(Substances!$F$2:$F$60,MATCH($C14,Substances!$A$2:$A$60,0))="","",INDEX(Substances!$F$2:$F$60,MATCH($C14,Substances!$A$2:$A$60,0))),"—"))</f>
        <v/>
      </c>
      <c r="X14" s="64" t="str">
        <f aca="false">IF($C14="","",IFERROR(IF(INDEX(Substances!$G$2:$G$60,MATCH($C14,Substances!$A$2:$A$60,0))="","",INDEX(Substances!$G$2:$G$60,MATCH($C14,Substances!$A$2:$A$60,0))),"—"))</f>
        <v/>
      </c>
      <c r="Y14" s="63" t="str">
        <f aca="false">IF($C14="","",IFERROR(IF(INDEX(Substances!$H$2:$H$60,MATCH($C14,Substances!$A$2:$A$60,0))="","",INDEX(Substances!$H$2:$H$60,MATCH($C14,Substances!$A$2:$A$60,0))),"—"))</f>
        <v/>
      </c>
      <c r="Z14" s="64" t="str">
        <f aca="false">IF($C14="","",IFERROR(IF(INDEX(Substances!$I$2:$I$60,MATCH($C14,Substances!$A$2:$A$60,0))="","",INDEX(Substances!$I$2:$I$60,MATCH($C14,Substances!$A$2:$A$60,0))),"—"))</f>
        <v/>
      </c>
      <c r="AA14" s="64" t="str">
        <f aca="false">IF($C14="","",IFERROR(IF(INDEX(Substances!$J$2:$J$60,MATCH($C14,Substances!$A$2:$A$60,0))="","",INDEX(Substances!$J$2:$J$60,MATCH($C14,Substances!$A$2:$A$60,0))),"—"))</f>
        <v/>
      </c>
      <c r="AB14" s="65" t="str">
        <f aca="false">IF($C14="","",IFERROR(IF(INDEX(Substances!$K$2:$K$60,MATCH($C14,Substances!$A$2:$A$60,0))="","",INDEX(Substances!$K$2:$K$60,MATCH($C14,Substances!$A$2:$A$60,0))),"—"))</f>
        <v/>
      </c>
      <c r="AC14" s="62" t="str">
        <f aca="false">IF($C14="","",IFERROR($U14/28.96,"—"))</f>
        <v/>
      </c>
      <c r="AD14" s="66" t="str">
        <f aca="false">IF($C14="","",IFERROR(N($G14)*100000+Tables!$B$4,"—"))</f>
        <v/>
      </c>
      <c r="AE14" s="67" t="str">
        <f aca="false">IF($C14="","",IFERROR($H14+273.15,"—"))</f>
        <v/>
      </c>
      <c r="AF14" s="67" t="str">
        <f aca="false">IF($C14="","",IFERROR($I14+273.15,"—"))</f>
        <v/>
      </c>
      <c r="AG14" s="66" t="str">
        <f aca="false">IF($C14="","",IFERROR(IF($D14="Gas/vapour jet",Tables!$B$4*(($W14+1)/2)^($W14/($W14-1)),"n/a"),"—"))</f>
        <v/>
      </c>
      <c r="AH14" s="68" t="str">
        <f aca="false">IF($C14="","",IFERROR(IF($D14="Gas/vapour jet",IF($AD14&gt;$AG14,"Choked","Subsonic"),"n/a"),"—"))</f>
        <v/>
      </c>
      <c r="AI14" s="69" t="str">
        <f aca="false">IF($C14="","",IFERROR(IF($D14="Gas/vapour jet","n/a",MIN(101.325,IF($P14&lt;&gt;"",$P14,IF(N(INDEX(Substances!$L$2:$L$60,MATCH($C14,Substances!$A$2:$A$60,0)))&lt;&gt;0,0.133322*10^(INDEX(Substances!$L$2:$L$60,MATCH($C14,Substances!$A$2:$A$60,0))-INDEX(Substances!$M$2:$M$60,MATCH($C14,Substances!$A$2:$A$60,0))/(INDEX(Substances!$N$2:$N$60,MATCH($C14,Substances!$A$2:$A$60,0))+$H14)),101.325*EXP(10.58*(1-($Y14+273.15)/$AE14)))))),"—"))</f>
        <v/>
      </c>
      <c r="AJ14" s="70" t="str">
        <f aca="false">IF($C14="","",IFERROR(IF($D14="Liquid jet",$K14*$J14*0.000001*SQRT(2*$X14*N($G14)*100000),"n/a"),"—"))</f>
        <v/>
      </c>
      <c r="AK14" s="71" t="str">
        <f aca="false">IF($C14="","",IFERROR(IF($D14="Gas/vapour jet",IF($AH14="Choked",$K14*$J14*0.000001*$AD14*SQRT($W14*$U14/($L14*Tables!$B$5*$AE14)*(2/($W14+1))^(($W14+1)/($W14-1))),$K14*$J14*0.000001*$AD14*SQRT($U14/($L14*Tables!$B$5*$AE14)*(2*$W14/($W14-1))*(1-(Tables!$B$4/$AD14)^(($W14-1)/$W14))*(Tables!$B$4/$AD14)^(2/$W14))),IF($D14="Liquid jet",$AJ14*IF($M14&lt;&gt;"",$M14,IF($H14&gt;=$Y14,1,0)),6.55*$O14^0.78*$N14*$AI14*$U14^0.667/(Tables!$B$5*$AE14))),"—"))</f>
        <v/>
      </c>
      <c r="AL14" s="72" t="str">
        <f aca="false">IF($C14="","",IFERROR(Tables!$B$10*$U14*$V14,"—"))</f>
        <v/>
      </c>
      <c r="AM14" s="69" t="str">
        <f aca="false">IF($C14="","",IFERROR(INDEX(Tables!$B$15:$B$17,MATCH($E14,Tables!$A$15:$A$17,0)),"—"))</f>
        <v/>
      </c>
      <c r="AN14" s="70" t="str">
        <f aca="false">IF($C14="","",IFERROR($AK14/($AM14*$AL14)*$AF14/Tables!$B$9,"—"))</f>
        <v/>
      </c>
      <c r="AO14" s="72" t="str">
        <f aca="false">IF($C14="","",IFERROR(IF($F14="Outdoor",Tables!$B$8,$R14/3600),"—"))</f>
        <v/>
      </c>
      <c r="AP14" s="73" t="str">
        <f aca="false">IF($C14="","",IFERROR($S14*$AN14/$AO14,"—"))</f>
        <v/>
      </c>
      <c r="AQ14" s="74" t="str">
        <f aca="false">IF($C14="","",IFERROR(IF($AP14&lt;Tables!$B$7,"High",IF($F14="Outdoor","Medium",IF($AP14&lt;$Q14,"Medium","Low"))),"—"))</f>
        <v/>
      </c>
      <c r="AR14" s="75" t="str">
        <f aca="false">IF($C14="","",IFERROR(-$S14/$AO14*LN($V14*$AM14/Tables!$B$6)/60,"—"))</f>
        <v/>
      </c>
      <c r="AS14" s="76" t="str">
        <f aca="false">IF($C14="","",IFERROR(INDEX(Tables!$B$22:$J$24,MATCH($E14,Tables!$A$22:$A$24,0),MATCH($AQ14&amp;"-"&amp;$T14,Tables!$B$21:$J$21,0)),"—"))</f>
        <v/>
      </c>
      <c r="AT14" s="77" t="str">
        <f aca="false">IF($C14="","",IFERROR((3*$AP14/(2*PI()))^(1/3),"—"))</f>
        <v/>
      </c>
      <c r="AU14" s="78" t="str">
        <f aca="false">IF($C14="","",IFERROR(IF(ISNUMBER(SEARCH("Zone 0",IFERROR(LEFT($AS14,FIND("(",$AS14)-1),$AS14))),"Ga",IF(ISNUMBER(SEARCH("Zone 1",IFERROR(LEFT($AS14,FIND("(",$AS14)-1),$AS14))),"Gb",IF(ISNUMBER(SEARCH("Zone 2",IFERROR(LEFT($AS14,FIND("(",$AS14)-1),$AS14))),"Gc","None required"))),"—"))</f>
        <v/>
      </c>
      <c r="AV14" s="74" t="str">
        <f aca="false">IF($C14="","",IFERROR(IF($AU14="None required","—",$AB14&amp;" "&amp;INDEX(Tables!$B$31:$B$37,MATCH($AA14-0.001,Tables!$A$31:$A$37,1))),"—"))</f>
        <v/>
      </c>
      <c r="AW14" s="79" t="str">
        <f aca="false">IF($C14="","",TRIM(IF(IF(ISNUMBER($Z14),$H14&lt;$Z14-5,FALSE()),"Handled &gt;5°C below flash point — may not need zoning (unless mist/spray). ","")&amp;IF(IF(AND($D14="Pool evaporation",ISNUMBER($Y14)),$H14&gt;=$Y14,FALSE()),"Liquid at/above boiling point — pool equation not valid, treat as gas release. ","")&amp;IF(IF(AND($D14="Liquid jet",$M14="",ISNUMBER($Y14)),$H14&lt;$Y14,FALSE()),"Non-flashing liquid: vapour rate set to 0 — model the resulting pool on its own row. ","")&amp;IF(AND($D14="Gas/vapour jet",NOT(ISNUMBER($W14))),"No γ in library for this substance. ","")&amp;IF(IF(ISNUMBER($AC14),$AC14&gt;1.2,FALSE()),"Heavier than air — extend zone at low level / into pits and drains. ","")&amp;IF($AQ14="Low","Vz ≥ V0: ventilation cannot control the release — whole room affected. ","")&amp;IF(AND($F14="Indoor",OR($Q14="",$R14="")),"Indoor: enter room volume and air changes. ","")))</f>
        <v/>
      </c>
    </row>
    <row r="15" customFormat="false" ht="15" hidden="false" customHeight="false" outlineLevel="0" collapsed="false">
      <c r="A15" s="56"/>
      <c r="B15" s="57"/>
      <c r="C15" s="56"/>
      <c r="D15" s="56"/>
      <c r="E15" s="56"/>
      <c r="F15" s="56"/>
      <c r="G15" s="58"/>
      <c r="H15" s="59"/>
      <c r="I15" s="59"/>
      <c r="J15" s="60"/>
      <c r="K15" s="58"/>
      <c r="L15" s="58"/>
      <c r="M15" s="58"/>
      <c r="N15" s="58"/>
      <c r="O15" s="58"/>
      <c r="P15" s="58"/>
      <c r="Q15" s="61"/>
      <c r="R15" s="59"/>
      <c r="S15" s="59"/>
      <c r="T15" s="56"/>
      <c r="U15" s="62" t="str">
        <f aca="false">IF($C15="","",IFERROR(IF(INDEX(Substances!$C$2:$C$60,MATCH($C15,Substances!$A$2:$A$60,0))="","",INDEX(Substances!$C$2:$C$60,MATCH($C15,Substances!$A$2:$A$60,0))),"—"))</f>
        <v/>
      </c>
      <c r="V15" s="63" t="str">
        <f aca="false">IF($C15="","",IFERROR(IF(INDEX(Substances!$D$2:$D$60,MATCH($C15,Substances!$A$2:$A$60,0))="","",INDEX(Substances!$D$2:$D$60,MATCH($C15,Substances!$A$2:$A$60,0))),"—"))</f>
        <v/>
      </c>
      <c r="W15" s="62" t="str">
        <f aca="false">IF($C15="","",IFERROR(IF(INDEX(Substances!$F$2:$F$60,MATCH($C15,Substances!$A$2:$A$60,0))="","",INDEX(Substances!$F$2:$F$60,MATCH($C15,Substances!$A$2:$A$60,0))),"—"))</f>
        <v/>
      </c>
      <c r="X15" s="64" t="str">
        <f aca="false">IF($C15="","",IFERROR(IF(INDEX(Substances!$G$2:$G$60,MATCH($C15,Substances!$A$2:$A$60,0))="","",INDEX(Substances!$G$2:$G$60,MATCH($C15,Substances!$A$2:$A$60,0))),"—"))</f>
        <v/>
      </c>
      <c r="Y15" s="63" t="str">
        <f aca="false">IF($C15="","",IFERROR(IF(INDEX(Substances!$H$2:$H$60,MATCH($C15,Substances!$A$2:$A$60,0))="","",INDEX(Substances!$H$2:$H$60,MATCH($C15,Substances!$A$2:$A$60,0))),"—"))</f>
        <v/>
      </c>
      <c r="Z15" s="64" t="str">
        <f aca="false">IF($C15="","",IFERROR(IF(INDEX(Substances!$I$2:$I$60,MATCH($C15,Substances!$A$2:$A$60,0))="","",INDEX(Substances!$I$2:$I$60,MATCH($C15,Substances!$A$2:$A$60,0))),"—"))</f>
        <v/>
      </c>
      <c r="AA15" s="64" t="str">
        <f aca="false">IF($C15="","",IFERROR(IF(INDEX(Substances!$J$2:$J$60,MATCH($C15,Substances!$A$2:$A$60,0))="","",INDEX(Substances!$J$2:$J$60,MATCH($C15,Substances!$A$2:$A$60,0))),"—"))</f>
        <v/>
      </c>
      <c r="AB15" s="65" t="str">
        <f aca="false">IF($C15="","",IFERROR(IF(INDEX(Substances!$K$2:$K$60,MATCH($C15,Substances!$A$2:$A$60,0))="","",INDEX(Substances!$K$2:$K$60,MATCH($C15,Substances!$A$2:$A$60,0))),"—"))</f>
        <v/>
      </c>
      <c r="AC15" s="62" t="str">
        <f aca="false">IF($C15="","",IFERROR($U15/28.96,"—"))</f>
        <v/>
      </c>
      <c r="AD15" s="66" t="str">
        <f aca="false">IF($C15="","",IFERROR(N($G15)*100000+Tables!$B$4,"—"))</f>
        <v/>
      </c>
      <c r="AE15" s="67" t="str">
        <f aca="false">IF($C15="","",IFERROR($H15+273.15,"—"))</f>
        <v/>
      </c>
      <c r="AF15" s="67" t="str">
        <f aca="false">IF($C15="","",IFERROR($I15+273.15,"—"))</f>
        <v/>
      </c>
      <c r="AG15" s="66" t="str">
        <f aca="false">IF($C15="","",IFERROR(IF($D15="Gas/vapour jet",Tables!$B$4*(($W15+1)/2)^($W15/($W15-1)),"n/a"),"—"))</f>
        <v/>
      </c>
      <c r="AH15" s="68" t="str">
        <f aca="false">IF($C15="","",IFERROR(IF($D15="Gas/vapour jet",IF($AD15&gt;$AG15,"Choked","Subsonic"),"n/a"),"—"))</f>
        <v/>
      </c>
      <c r="AI15" s="69" t="str">
        <f aca="false">IF($C15="","",IFERROR(IF($D15="Gas/vapour jet","n/a",MIN(101.325,IF($P15&lt;&gt;"",$P15,IF(N(INDEX(Substances!$L$2:$L$60,MATCH($C15,Substances!$A$2:$A$60,0)))&lt;&gt;0,0.133322*10^(INDEX(Substances!$L$2:$L$60,MATCH($C15,Substances!$A$2:$A$60,0))-INDEX(Substances!$M$2:$M$60,MATCH($C15,Substances!$A$2:$A$60,0))/(INDEX(Substances!$N$2:$N$60,MATCH($C15,Substances!$A$2:$A$60,0))+$H15)),101.325*EXP(10.58*(1-($Y15+273.15)/$AE15)))))),"—"))</f>
        <v/>
      </c>
      <c r="AJ15" s="70" t="str">
        <f aca="false">IF($C15="","",IFERROR(IF($D15="Liquid jet",$K15*$J15*0.000001*SQRT(2*$X15*N($G15)*100000),"n/a"),"—"))</f>
        <v/>
      </c>
      <c r="AK15" s="71" t="str">
        <f aca="false">IF($C15="","",IFERROR(IF($D15="Gas/vapour jet",IF($AH15="Choked",$K15*$J15*0.000001*$AD15*SQRT($W15*$U15/($L15*Tables!$B$5*$AE15)*(2/($W15+1))^(($W15+1)/($W15-1))),$K15*$J15*0.000001*$AD15*SQRT($U15/($L15*Tables!$B$5*$AE15)*(2*$W15/($W15-1))*(1-(Tables!$B$4/$AD15)^(($W15-1)/$W15))*(Tables!$B$4/$AD15)^(2/$W15))),IF($D15="Liquid jet",$AJ15*IF($M15&lt;&gt;"",$M15,IF($H15&gt;=$Y15,1,0)),6.55*$O15^0.78*$N15*$AI15*$U15^0.667/(Tables!$B$5*$AE15))),"—"))</f>
        <v/>
      </c>
      <c r="AL15" s="72" t="str">
        <f aca="false">IF($C15="","",IFERROR(Tables!$B$10*$U15*$V15,"—"))</f>
        <v/>
      </c>
      <c r="AM15" s="69" t="str">
        <f aca="false">IF($C15="","",IFERROR(INDEX(Tables!$B$15:$B$17,MATCH($E15,Tables!$A$15:$A$17,0)),"—"))</f>
        <v/>
      </c>
      <c r="AN15" s="70" t="str">
        <f aca="false">IF($C15="","",IFERROR($AK15/($AM15*$AL15)*$AF15/Tables!$B$9,"—"))</f>
        <v/>
      </c>
      <c r="AO15" s="72" t="str">
        <f aca="false">IF($C15="","",IFERROR(IF($F15="Outdoor",Tables!$B$8,$R15/3600),"—"))</f>
        <v/>
      </c>
      <c r="AP15" s="73" t="str">
        <f aca="false">IF($C15="","",IFERROR($S15*$AN15/$AO15,"—"))</f>
        <v/>
      </c>
      <c r="AQ15" s="74" t="str">
        <f aca="false">IF($C15="","",IFERROR(IF($AP15&lt;Tables!$B$7,"High",IF($F15="Outdoor","Medium",IF($AP15&lt;$Q15,"Medium","Low"))),"—"))</f>
        <v/>
      </c>
      <c r="AR15" s="75" t="str">
        <f aca="false">IF($C15="","",IFERROR(-$S15/$AO15*LN($V15*$AM15/Tables!$B$6)/60,"—"))</f>
        <v/>
      </c>
      <c r="AS15" s="76" t="str">
        <f aca="false">IF($C15="","",IFERROR(INDEX(Tables!$B$22:$J$24,MATCH($E15,Tables!$A$22:$A$24,0),MATCH($AQ15&amp;"-"&amp;$T15,Tables!$B$21:$J$21,0)),"—"))</f>
        <v/>
      </c>
      <c r="AT15" s="77" t="str">
        <f aca="false">IF($C15="","",IFERROR((3*$AP15/(2*PI()))^(1/3),"—"))</f>
        <v/>
      </c>
      <c r="AU15" s="78" t="str">
        <f aca="false">IF($C15="","",IFERROR(IF(ISNUMBER(SEARCH("Zone 0",IFERROR(LEFT($AS15,FIND("(",$AS15)-1),$AS15))),"Ga",IF(ISNUMBER(SEARCH("Zone 1",IFERROR(LEFT($AS15,FIND("(",$AS15)-1),$AS15))),"Gb",IF(ISNUMBER(SEARCH("Zone 2",IFERROR(LEFT($AS15,FIND("(",$AS15)-1),$AS15))),"Gc","None required"))),"—"))</f>
        <v/>
      </c>
      <c r="AV15" s="74" t="str">
        <f aca="false">IF($C15="","",IFERROR(IF($AU15="None required","—",$AB15&amp;" "&amp;INDEX(Tables!$B$31:$B$37,MATCH($AA15-0.001,Tables!$A$31:$A$37,1))),"—"))</f>
        <v/>
      </c>
      <c r="AW15" s="79" t="str">
        <f aca="false">IF($C15="","",TRIM(IF(IF(ISNUMBER($Z15),$H15&lt;$Z15-5,FALSE()),"Handled &gt;5°C below flash point — may not need zoning (unless mist/spray). ","")&amp;IF(IF(AND($D15="Pool evaporation",ISNUMBER($Y15)),$H15&gt;=$Y15,FALSE()),"Liquid at/above boiling point — pool equation not valid, treat as gas release. ","")&amp;IF(IF(AND($D15="Liquid jet",$M15="",ISNUMBER($Y15)),$H15&lt;$Y15,FALSE()),"Non-flashing liquid: vapour rate set to 0 — model the resulting pool on its own row. ","")&amp;IF(AND($D15="Gas/vapour jet",NOT(ISNUMBER($W15))),"No γ in library for this substance. ","")&amp;IF(IF(ISNUMBER($AC15),$AC15&gt;1.2,FALSE()),"Heavier than air — extend zone at low level / into pits and drains. ","")&amp;IF($AQ15="Low","Vz ≥ V0: ventilation cannot control the release — whole room affected. ","")&amp;IF(AND($F15="Indoor",OR($Q15="",$R15="")),"Indoor: enter room volume and air changes. ","")))</f>
        <v/>
      </c>
    </row>
    <row r="16" customFormat="false" ht="15" hidden="false" customHeight="false" outlineLevel="0" collapsed="false">
      <c r="A16" s="56"/>
      <c r="B16" s="57"/>
      <c r="C16" s="56"/>
      <c r="D16" s="56"/>
      <c r="E16" s="56"/>
      <c r="F16" s="56"/>
      <c r="G16" s="58"/>
      <c r="H16" s="59"/>
      <c r="I16" s="59"/>
      <c r="J16" s="60"/>
      <c r="K16" s="58"/>
      <c r="L16" s="58"/>
      <c r="M16" s="58"/>
      <c r="N16" s="58"/>
      <c r="O16" s="58"/>
      <c r="P16" s="58"/>
      <c r="Q16" s="61"/>
      <c r="R16" s="59"/>
      <c r="S16" s="59"/>
      <c r="T16" s="56"/>
      <c r="U16" s="62" t="str">
        <f aca="false">IF($C16="","",IFERROR(IF(INDEX(Substances!$C$2:$C$60,MATCH($C16,Substances!$A$2:$A$60,0))="","",INDEX(Substances!$C$2:$C$60,MATCH($C16,Substances!$A$2:$A$60,0))),"—"))</f>
        <v/>
      </c>
      <c r="V16" s="63" t="str">
        <f aca="false">IF($C16="","",IFERROR(IF(INDEX(Substances!$D$2:$D$60,MATCH($C16,Substances!$A$2:$A$60,0))="","",INDEX(Substances!$D$2:$D$60,MATCH($C16,Substances!$A$2:$A$60,0))),"—"))</f>
        <v/>
      </c>
      <c r="W16" s="62" t="str">
        <f aca="false">IF($C16="","",IFERROR(IF(INDEX(Substances!$F$2:$F$60,MATCH($C16,Substances!$A$2:$A$60,0))="","",INDEX(Substances!$F$2:$F$60,MATCH($C16,Substances!$A$2:$A$60,0))),"—"))</f>
        <v/>
      </c>
      <c r="X16" s="64" t="str">
        <f aca="false">IF($C16="","",IFERROR(IF(INDEX(Substances!$G$2:$G$60,MATCH($C16,Substances!$A$2:$A$60,0))="","",INDEX(Substances!$G$2:$G$60,MATCH($C16,Substances!$A$2:$A$60,0))),"—"))</f>
        <v/>
      </c>
      <c r="Y16" s="63" t="str">
        <f aca="false">IF($C16="","",IFERROR(IF(INDEX(Substances!$H$2:$H$60,MATCH($C16,Substances!$A$2:$A$60,0))="","",INDEX(Substances!$H$2:$H$60,MATCH($C16,Substances!$A$2:$A$60,0))),"—"))</f>
        <v/>
      </c>
      <c r="Z16" s="64" t="str">
        <f aca="false">IF($C16="","",IFERROR(IF(INDEX(Substances!$I$2:$I$60,MATCH($C16,Substances!$A$2:$A$60,0))="","",INDEX(Substances!$I$2:$I$60,MATCH($C16,Substances!$A$2:$A$60,0))),"—"))</f>
        <v/>
      </c>
      <c r="AA16" s="64" t="str">
        <f aca="false">IF($C16="","",IFERROR(IF(INDEX(Substances!$J$2:$J$60,MATCH($C16,Substances!$A$2:$A$60,0))="","",INDEX(Substances!$J$2:$J$60,MATCH($C16,Substances!$A$2:$A$60,0))),"—"))</f>
        <v/>
      </c>
      <c r="AB16" s="65" t="str">
        <f aca="false">IF($C16="","",IFERROR(IF(INDEX(Substances!$K$2:$K$60,MATCH($C16,Substances!$A$2:$A$60,0))="","",INDEX(Substances!$K$2:$K$60,MATCH($C16,Substances!$A$2:$A$60,0))),"—"))</f>
        <v/>
      </c>
      <c r="AC16" s="62" t="str">
        <f aca="false">IF($C16="","",IFERROR($U16/28.96,"—"))</f>
        <v/>
      </c>
      <c r="AD16" s="66" t="str">
        <f aca="false">IF($C16="","",IFERROR(N($G16)*100000+Tables!$B$4,"—"))</f>
        <v/>
      </c>
      <c r="AE16" s="67" t="str">
        <f aca="false">IF($C16="","",IFERROR($H16+273.15,"—"))</f>
        <v/>
      </c>
      <c r="AF16" s="67" t="str">
        <f aca="false">IF($C16="","",IFERROR($I16+273.15,"—"))</f>
        <v/>
      </c>
      <c r="AG16" s="66" t="str">
        <f aca="false">IF($C16="","",IFERROR(IF($D16="Gas/vapour jet",Tables!$B$4*(($W16+1)/2)^($W16/($W16-1)),"n/a"),"—"))</f>
        <v/>
      </c>
      <c r="AH16" s="68" t="str">
        <f aca="false">IF($C16="","",IFERROR(IF($D16="Gas/vapour jet",IF($AD16&gt;$AG16,"Choked","Subsonic"),"n/a"),"—"))</f>
        <v/>
      </c>
      <c r="AI16" s="69" t="str">
        <f aca="false">IF($C16="","",IFERROR(IF($D16="Gas/vapour jet","n/a",MIN(101.325,IF($P16&lt;&gt;"",$P16,IF(N(INDEX(Substances!$L$2:$L$60,MATCH($C16,Substances!$A$2:$A$60,0)))&lt;&gt;0,0.133322*10^(INDEX(Substances!$L$2:$L$60,MATCH($C16,Substances!$A$2:$A$60,0))-INDEX(Substances!$M$2:$M$60,MATCH($C16,Substances!$A$2:$A$60,0))/(INDEX(Substances!$N$2:$N$60,MATCH($C16,Substances!$A$2:$A$60,0))+$H16)),101.325*EXP(10.58*(1-($Y16+273.15)/$AE16)))))),"—"))</f>
        <v/>
      </c>
      <c r="AJ16" s="70" t="str">
        <f aca="false">IF($C16="","",IFERROR(IF($D16="Liquid jet",$K16*$J16*0.000001*SQRT(2*$X16*N($G16)*100000),"n/a"),"—"))</f>
        <v/>
      </c>
      <c r="AK16" s="71" t="str">
        <f aca="false">IF($C16="","",IFERROR(IF($D16="Gas/vapour jet",IF($AH16="Choked",$K16*$J16*0.000001*$AD16*SQRT($W16*$U16/($L16*Tables!$B$5*$AE16)*(2/($W16+1))^(($W16+1)/($W16-1))),$K16*$J16*0.000001*$AD16*SQRT($U16/($L16*Tables!$B$5*$AE16)*(2*$W16/($W16-1))*(1-(Tables!$B$4/$AD16)^(($W16-1)/$W16))*(Tables!$B$4/$AD16)^(2/$W16))),IF($D16="Liquid jet",$AJ16*IF($M16&lt;&gt;"",$M16,IF($H16&gt;=$Y16,1,0)),6.55*$O16^0.78*$N16*$AI16*$U16^0.667/(Tables!$B$5*$AE16))),"—"))</f>
        <v/>
      </c>
      <c r="AL16" s="72" t="str">
        <f aca="false">IF($C16="","",IFERROR(Tables!$B$10*$U16*$V16,"—"))</f>
        <v/>
      </c>
      <c r="AM16" s="69" t="str">
        <f aca="false">IF($C16="","",IFERROR(INDEX(Tables!$B$15:$B$17,MATCH($E16,Tables!$A$15:$A$17,0)),"—"))</f>
        <v/>
      </c>
      <c r="AN16" s="70" t="str">
        <f aca="false">IF($C16="","",IFERROR($AK16/($AM16*$AL16)*$AF16/Tables!$B$9,"—"))</f>
        <v/>
      </c>
      <c r="AO16" s="72" t="str">
        <f aca="false">IF($C16="","",IFERROR(IF($F16="Outdoor",Tables!$B$8,$R16/3600),"—"))</f>
        <v/>
      </c>
      <c r="AP16" s="73" t="str">
        <f aca="false">IF($C16="","",IFERROR($S16*$AN16/$AO16,"—"))</f>
        <v/>
      </c>
      <c r="AQ16" s="74" t="str">
        <f aca="false">IF($C16="","",IFERROR(IF($AP16&lt;Tables!$B$7,"High",IF($F16="Outdoor","Medium",IF($AP16&lt;$Q16,"Medium","Low"))),"—"))</f>
        <v/>
      </c>
      <c r="AR16" s="75" t="str">
        <f aca="false">IF($C16="","",IFERROR(-$S16/$AO16*LN($V16*$AM16/Tables!$B$6)/60,"—"))</f>
        <v/>
      </c>
      <c r="AS16" s="76" t="str">
        <f aca="false">IF($C16="","",IFERROR(INDEX(Tables!$B$22:$J$24,MATCH($E16,Tables!$A$22:$A$24,0),MATCH($AQ16&amp;"-"&amp;$T16,Tables!$B$21:$J$21,0)),"—"))</f>
        <v/>
      </c>
      <c r="AT16" s="77" t="str">
        <f aca="false">IF($C16="","",IFERROR((3*$AP16/(2*PI()))^(1/3),"—"))</f>
        <v/>
      </c>
      <c r="AU16" s="78" t="str">
        <f aca="false">IF($C16="","",IFERROR(IF(ISNUMBER(SEARCH("Zone 0",IFERROR(LEFT($AS16,FIND("(",$AS16)-1),$AS16))),"Ga",IF(ISNUMBER(SEARCH("Zone 1",IFERROR(LEFT($AS16,FIND("(",$AS16)-1),$AS16))),"Gb",IF(ISNUMBER(SEARCH("Zone 2",IFERROR(LEFT($AS16,FIND("(",$AS16)-1),$AS16))),"Gc","None required"))),"—"))</f>
        <v/>
      </c>
      <c r="AV16" s="74" t="str">
        <f aca="false">IF($C16="","",IFERROR(IF($AU16="None required","—",$AB16&amp;" "&amp;INDEX(Tables!$B$31:$B$37,MATCH($AA16-0.001,Tables!$A$31:$A$37,1))),"—"))</f>
        <v/>
      </c>
      <c r="AW16" s="79" t="str">
        <f aca="false">IF($C16="","",TRIM(IF(IF(ISNUMBER($Z16),$H16&lt;$Z16-5,FALSE()),"Handled &gt;5°C below flash point — may not need zoning (unless mist/spray). ","")&amp;IF(IF(AND($D16="Pool evaporation",ISNUMBER($Y16)),$H16&gt;=$Y16,FALSE()),"Liquid at/above boiling point — pool equation not valid, treat as gas release. ","")&amp;IF(IF(AND($D16="Liquid jet",$M16="",ISNUMBER($Y16)),$H16&lt;$Y16,FALSE()),"Non-flashing liquid: vapour rate set to 0 — model the resulting pool on its own row. ","")&amp;IF(AND($D16="Gas/vapour jet",NOT(ISNUMBER($W16))),"No γ in library for this substance. ","")&amp;IF(IF(ISNUMBER($AC16),$AC16&gt;1.2,FALSE()),"Heavier than air — extend zone at low level / into pits and drains. ","")&amp;IF($AQ16="Low","Vz ≥ V0: ventilation cannot control the release — whole room affected. ","")&amp;IF(AND($F16="Indoor",OR($Q16="",$R16="")),"Indoor: enter room volume and air changes. ","")))</f>
        <v/>
      </c>
    </row>
    <row r="17" customFormat="false" ht="15" hidden="false" customHeight="false" outlineLevel="0" collapsed="false">
      <c r="A17" s="56"/>
      <c r="B17" s="57"/>
      <c r="C17" s="56"/>
      <c r="D17" s="56"/>
      <c r="E17" s="56"/>
      <c r="F17" s="56"/>
      <c r="G17" s="58"/>
      <c r="H17" s="59"/>
      <c r="I17" s="59"/>
      <c r="J17" s="60"/>
      <c r="K17" s="58"/>
      <c r="L17" s="58"/>
      <c r="M17" s="58"/>
      <c r="N17" s="58"/>
      <c r="O17" s="58"/>
      <c r="P17" s="58"/>
      <c r="Q17" s="61"/>
      <c r="R17" s="59"/>
      <c r="S17" s="59"/>
      <c r="T17" s="56"/>
      <c r="U17" s="62" t="str">
        <f aca="false">IF($C17="","",IFERROR(IF(INDEX(Substances!$C$2:$C$60,MATCH($C17,Substances!$A$2:$A$60,0))="","",INDEX(Substances!$C$2:$C$60,MATCH($C17,Substances!$A$2:$A$60,0))),"—"))</f>
        <v/>
      </c>
      <c r="V17" s="63" t="str">
        <f aca="false">IF($C17="","",IFERROR(IF(INDEX(Substances!$D$2:$D$60,MATCH($C17,Substances!$A$2:$A$60,0))="","",INDEX(Substances!$D$2:$D$60,MATCH($C17,Substances!$A$2:$A$60,0))),"—"))</f>
        <v/>
      </c>
      <c r="W17" s="62" t="str">
        <f aca="false">IF($C17="","",IFERROR(IF(INDEX(Substances!$F$2:$F$60,MATCH($C17,Substances!$A$2:$A$60,0))="","",INDEX(Substances!$F$2:$F$60,MATCH($C17,Substances!$A$2:$A$60,0))),"—"))</f>
        <v/>
      </c>
      <c r="X17" s="64" t="str">
        <f aca="false">IF($C17="","",IFERROR(IF(INDEX(Substances!$G$2:$G$60,MATCH($C17,Substances!$A$2:$A$60,0))="","",INDEX(Substances!$G$2:$G$60,MATCH($C17,Substances!$A$2:$A$60,0))),"—"))</f>
        <v/>
      </c>
      <c r="Y17" s="63" t="str">
        <f aca="false">IF($C17="","",IFERROR(IF(INDEX(Substances!$H$2:$H$60,MATCH($C17,Substances!$A$2:$A$60,0))="","",INDEX(Substances!$H$2:$H$60,MATCH($C17,Substances!$A$2:$A$60,0))),"—"))</f>
        <v/>
      </c>
      <c r="Z17" s="64" t="str">
        <f aca="false">IF($C17="","",IFERROR(IF(INDEX(Substances!$I$2:$I$60,MATCH($C17,Substances!$A$2:$A$60,0))="","",INDEX(Substances!$I$2:$I$60,MATCH($C17,Substances!$A$2:$A$60,0))),"—"))</f>
        <v/>
      </c>
      <c r="AA17" s="64" t="str">
        <f aca="false">IF($C17="","",IFERROR(IF(INDEX(Substances!$J$2:$J$60,MATCH($C17,Substances!$A$2:$A$60,0))="","",INDEX(Substances!$J$2:$J$60,MATCH($C17,Substances!$A$2:$A$60,0))),"—"))</f>
        <v/>
      </c>
      <c r="AB17" s="65" t="str">
        <f aca="false">IF($C17="","",IFERROR(IF(INDEX(Substances!$K$2:$K$60,MATCH($C17,Substances!$A$2:$A$60,0))="","",INDEX(Substances!$K$2:$K$60,MATCH($C17,Substances!$A$2:$A$60,0))),"—"))</f>
        <v/>
      </c>
      <c r="AC17" s="62" t="str">
        <f aca="false">IF($C17="","",IFERROR($U17/28.96,"—"))</f>
        <v/>
      </c>
      <c r="AD17" s="66" t="str">
        <f aca="false">IF($C17="","",IFERROR(N($G17)*100000+Tables!$B$4,"—"))</f>
        <v/>
      </c>
      <c r="AE17" s="67" t="str">
        <f aca="false">IF($C17="","",IFERROR($H17+273.15,"—"))</f>
        <v/>
      </c>
      <c r="AF17" s="67" t="str">
        <f aca="false">IF($C17="","",IFERROR($I17+273.15,"—"))</f>
        <v/>
      </c>
      <c r="AG17" s="66" t="str">
        <f aca="false">IF($C17="","",IFERROR(IF($D17="Gas/vapour jet",Tables!$B$4*(($W17+1)/2)^($W17/($W17-1)),"n/a"),"—"))</f>
        <v/>
      </c>
      <c r="AH17" s="68" t="str">
        <f aca="false">IF($C17="","",IFERROR(IF($D17="Gas/vapour jet",IF($AD17&gt;$AG17,"Choked","Subsonic"),"n/a"),"—"))</f>
        <v/>
      </c>
      <c r="AI17" s="69" t="str">
        <f aca="false">IF($C17="","",IFERROR(IF($D17="Gas/vapour jet","n/a",MIN(101.325,IF($P17&lt;&gt;"",$P17,IF(N(INDEX(Substances!$L$2:$L$60,MATCH($C17,Substances!$A$2:$A$60,0)))&lt;&gt;0,0.133322*10^(INDEX(Substances!$L$2:$L$60,MATCH($C17,Substances!$A$2:$A$60,0))-INDEX(Substances!$M$2:$M$60,MATCH($C17,Substances!$A$2:$A$60,0))/(INDEX(Substances!$N$2:$N$60,MATCH($C17,Substances!$A$2:$A$60,0))+$H17)),101.325*EXP(10.58*(1-($Y17+273.15)/$AE17)))))),"—"))</f>
        <v/>
      </c>
      <c r="AJ17" s="70" t="str">
        <f aca="false">IF($C17="","",IFERROR(IF($D17="Liquid jet",$K17*$J17*0.000001*SQRT(2*$X17*N($G17)*100000),"n/a"),"—"))</f>
        <v/>
      </c>
      <c r="AK17" s="71" t="str">
        <f aca="false">IF($C17="","",IFERROR(IF($D17="Gas/vapour jet",IF($AH17="Choked",$K17*$J17*0.000001*$AD17*SQRT($W17*$U17/($L17*Tables!$B$5*$AE17)*(2/($W17+1))^(($W17+1)/($W17-1))),$K17*$J17*0.000001*$AD17*SQRT($U17/($L17*Tables!$B$5*$AE17)*(2*$W17/($W17-1))*(1-(Tables!$B$4/$AD17)^(($W17-1)/$W17))*(Tables!$B$4/$AD17)^(2/$W17))),IF($D17="Liquid jet",$AJ17*IF($M17&lt;&gt;"",$M17,IF($H17&gt;=$Y17,1,0)),6.55*$O17^0.78*$N17*$AI17*$U17^0.667/(Tables!$B$5*$AE17))),"—"))</f>
        <v/>
      </c>
      <c r="AL17" s="72" t="str">
        <f aca="false">IF($C17="","",IFERROR(Tables!$B$10*$U17*$V17,"—"))</f>
        <v/>
      </c>
      <c r="AM17" s="69" t="str">
        <f aca="false">IF($C17="","",IFERROR(INDEX(Tables!$B$15:$B$17,MATCH($E17,Tables!$A$15:$A$17,0)),"—"))</f>
        <v/>
      </c>
      <c r="AN17" s="70" t="str">
        <f aca="false">IF($C17="","",IFERROR($AK17/($AM17*$AL17)*$AF17/Tables!$B$9,"—"))</f>
        <v/>
      </c>
      <c r="AO17" s="72" t="str">
        <f aca="false">IF($C17="","",IFERROR(IF($F17="Outdoor",Tables!$B$8,$R17/3600),"—"))</f>
        <v/>
      </c>
      <c r="AP17" s="73" t="str">
        <f aca="false">IF($C17="","",IFERROR($S17*$AN17/$AO17,"—"))</f>
        <v/>
      </c>
      <c r="AQ17" s="74" t="str">
        <f aca="false">IF($C17="","",IFERROR(IF($AP17&lt;Tables!$B$7,"High",IF($F17="Outdoor","Medium",IF($AP17&lt;$Q17,"Medium","Low"))),"—"))</f>
        <v/>
      </c>
      <c r="AR17" s="75" t="str">
        <f aca="false">IF($C17="","",IFERROR(-$S17/$AO17*LN($V17*$AM17/Tables!$B$6)/60,"—"))</f>
        <v/>
      </c>
      <c r="AS17" s="76" t="str">
        <f aca="false">IF($C17="","",IFERROR(INDEX(Tables!$B$22:$J$24,MATCH($E17,Tables!$A$22:$A$24,0),MATCH($AQ17&amp;"-"&amp;$T17,Tables!$B$21:$J$21,0)),"—"))</f>
        <v/>
      </c>
      <c r="AT17" s="77" t="str">
        <f aca="false">IF($C17="","",IFERROR((3*$AP17/(2*PI()))^(1/3),"—"))</f>
        <v/>
      </c>
      <c r="AU17" s="78" t="str">
        <f aca="false">IF($C17="","",IFERROR(IF(ISNUMBER(SEARCH("Zone 0",IFERROR(LEFT($AS17,FIND("(",$AS17)-1),$AS17))),"Ga",IF(ISNUMBER(SEARCH("Zone 1",IFERROR(LEFT($AS17,FIND("(",$AS17)-1),$AS17))),"Gb",IF(ISNUMBER(SEARCH("Zone 2",IFERROR(LEFT($AS17,FIND("(",$AS17)-1),$AS17))),"Gc","None required"))),"—"))</f>
        <v/>
      </c>
      <c r="AV17" s="74" t="str">
        <f aca="false">IF($C17="","",IFERROR(IF($AU17="None required","—",$AB17&amp;" "&amp;INDEX(Tables!$B$31:$B$37,MATCH($AA17-0.001,Tables!$A$31:$A$37,1))),"—"))</f>
        <v/>
      </c>
      <c r="AW17" s="79" t="str">
        <f aca="false">IF($C17="","",TRIM(IF(IF(ISNUMBER($Z17),$H17&lt;$Z17-5,FALSE()),"Handled &gt;5°C below flash point — may not need zoning (unless mist/spray). ","")&amp;IF(IF(AND($D17="Pool evaporation",ISNUMBER($Y17)),$H17&gt;=$Y17,FALSE()),"Liquid at/above boiling point — pool equation not valid, treat as gas release. ","")&amp;IF(IF(AND($D17="Liquid jet",$M17="",ISNUMBER($Y17)),$H17&lt;$Y17,FALSE()),"Non-flashing liquid: vapour rate set to 0 — model the resulting pool on its own row. ","")&amp;IF(AND($D17="Gas/vapour jet",NOT(ISNUMBER($W17))),"No γ in library for this substance. ","")&amp;IF(IF(ISNUMBER($AC17),$AC17&gt;1.2,FALSE()),"Heavier than air — extend zone at low level / into pits and drains. ","")&amp;IF($AQ17="Low","Vz ≥ V0: ventilation cannot control the release — whole room affected. ","")&amp;IF(AND($F17="Indoor",OR($Q17="",$R17="")),"Indoor: enter room volume and air changes. ","")))</f>
        <v/>
      </c>
    </row>
    <row r="18" customFormat="false" ht="15" hidden="false" customHeight="false" outlineLevel="0" collapsed="false">
      <c r="A18" s="56"/>
      <c r="B18" s="57"/>
      <c r="C18" s="56"/>
      <c r="D18" s="56"/>
      <c r="E18" s="56"/>
      <c r="F18" s="56"/>
      <c r="G18" s="58"/>
      <c r="H18" s="59"/>
      <c r="I18" s="59"/>
      <c r="J18" s="60"/>
      <c r="K18" s="58"/>
      <c r="L18" s="58"/>
      <c r="M18" s="58"/>
      <c r="N18" s="58"/>
      <c r="O18" s="58"/>
      <c r="P18" s="58"/>
      <c r="Q18" s="61"/>
      <c r="R18" s="59"/>
      <c r="S18" s="59"/>
      <c r="T18" s="56"/>
      <c r="U18" s="62" t="str">
        <f aca="false">IF($C18="","",IFERROR(IF(INDEX(Substances!$C$2:$C$60,MATCH($C18,Substances!$A$2:$A$60,0))="","",INDEX(Substances!$C$2:$C$60,MATCH($C18,Substances!$A$2:$A$60,0))),"—"))</f>
        <v/>
      </c>
      <c r="V18" s="63" t="str">
        <f aca="false">IF($C18="","",IFERROR(IF(INDEX(Substances!$D$2:$D$60,MATCH($C18,Substances!$A$2:$A$60,0))="","",INDEX(Substances!$D$2:$D$60,MATCH($C18,Substances!$A$2:$A$60,0))),"—"))</f>
        <v/>
      </c>
      <c r="W18" s="62" t="str">
        <f aca="false">IF($C18="","",IFERROR(IF(INDEX(Substances!$F$2:$F$60,MATCH($C18,Substances!$A$2:$A$60,0))="","",INDEX(Substances!$F$2:$F$60,MATCH($C18,Substances!$A$2:$A$60,0))),"—"))</f>
        <v/>
      </c>
      <c r="X18" s="64" t="str">
        <f aca="false">IF($C18="","",IFERROR(IF(INDEX(Substances!$G$2:$G$60,MATCH($C18,Substances!$A$2:$A$60,0))="","",INDEX(Substances!$G$2:$G$60,MATCH($C18,Substances!$A$2:$A$60,0))),"—"))</f>
        <v/>
      </c>
      <c r="Y18" s="63" t="str">
        <f aca="false">IF($C18="","",IFERROR(IF(INDEX(Substances!$H$2:$H$60,MATCH($C18,Substances!$A$2:$A$60,0))="","",INDEX(Substances!$H$2:$H$60,MATCH($C18,Substances!$A$2:$A$60,0))),"—"))</f>
        <v/>
      </c>
      <c r="Z18" s="64" t="str">
        <f aca="false">IF($C18="","",IFERROR(IF(INDEX(Substances!$I$2:$I$60,MATCH($C18,Substances!$A$2:$A$60,0))="","",INDEX(Substances!$I$2:$I$60,MATCH($C18,Substances!$A$2:$A$60,0))),"—"))</f>
        <v/>
      </c>
      <c r="AA18" s="64" t="str">
        <f aca="false">IF($C18="","",IFERROR(IF(INDEX(Substances!$J$2:$J$60,MATCH($C18,Substances!$A$2:$A$60,0))="","",INDEX(Substances!$J$2:$J$60,MATCH($C18,Substances!$A$2:$A$60,0))),"—"))</f>
        <v/>
      </c>
      <c r="AB18" s="65" t="str">
        <f aca="false">IF($C18="","",IFERROR(IF(INDEX(Substances!$K$2:$K$60,MATCH($C18,Substances!$A$2:$A$60,0))="","",INDEX(Substances!$K$2:$K$60,MATCH($C18,Substances!$A$2:$A$60,0))),"—"))</f>
        <v/>
      </c>
      <c r="AC18" s="62" t="str">
        <f aca="false">IF($C18="","",IFERROR($U18/28.96,"—"))</f>
        <v/>
      </c>
      <c r="AD18" s="66" t="str">
        <f aca="false">IF($C18="","",IFERROR(N($G18)*100000+Tables!$B$4,"—"))</f>
        <v/>
      </c>
      <c r="AE18" s="67" t="str">
        <f aca="false">IF($C18="","",IFERROR($H18+273.15,"—"))</f>
        <v/>
      </c>
      <c r="AF18" s="67" t="str">
        <f aca="false">IF($C18="","",IFERROR($I18+273.15,"—"))</f>
        <v/>
      </c>
      <c r="AG18" s="66" t="str">
        <f aca="false">IF($C18="","",IFERROR(IF($D18="Gas/vapour jet",Tables!$B$4*(($W18+1)/2)^($W18/($W18-1)),"n/a"),"—"))</f>
        <v/>
      </c>
      <c r="AH18" s="68" t="str">
        <f aca="false">IF($C18="","",IFERROR(IF($D18="Gas/vapour jet",IF($AD18&gt;$AG18,"Choked","Subsonic"),"n/a"),"—"))</f>
        <v/>
      </c>
      <c r="AI18" s="69" t="str">
        <f aca="false">IF($C18="","",IFERROR(IF($D18="Gas/vapour jet","n/a",MIN(101.325,IF($P18&lt;&gt;"",$P18,IF(N(INDEX(Substances!$L$2:$L$60,MATCH($C18,Substances!$A$2:$A$60,0)))&lt;&gt;0,0.133322*10^(INDEX(Substances!$L$2:$L$60,MATCH($C18,Substances!$A$2:$A$60,0))-INDEX(Substances!$M$2:$M$60,MATCH($C18,Substances!$A$2:$A$60,0))/(INDEX(Substances!$N$2:$N$60,MATCH($C18,Substances!$A$2:$A$60,0))+$H18)),101.325*EXP(10.58*(1-($Y18+273.15)/$AE18)))))),"—"))</f>
        <v/>
      </c>
      <c r="AJ18" s="70" t="str">
        <f aca="false">IF($C18="","",IFERROR(IF($D18="Liquid jet",$K18*$J18*0.000001*SQRT(2*$X18*N($G18)*100000),"n/a"),"—"))</f>
        <v/>
      </c>
      <c r="AK18" s="71" t="str">
        <f aca="false">IF($C18="","",IFERROR(IF($D18="Gas/vapour jet",IF($AH18="Choked",$K18*$J18*0.000001*$AD18*SQRT($W18*$U18/($L18*Tables!$B$5*$AE18)*(2/($W18+1))^(($W18+1)/($W18-1))),$K18*$J18*0.000001*$AD18*SQRT($U18/($L18*Tables!$B$5*$AE18)*(2*$W18/($W18-1))*(1-(Tables!$B$4/$AD18)^(($W18-1)/$W18))*(Tables!$B$4/$AD18)^(2/$W18))),IF($D18="Liquid jet",$AJ18*IF($M18&lt;&gt;"",$M18,IF($H18&gt;=$Y18,1,0)),6.55*$O18^0.78*$N18*$AI18*$U18^0.667/(Tables!$B$5*$AE18))),"—"))</f>
        <v/>
      </c>
      <c r="AL18" s="72" t="str">
        <f aca="false">IF($C18="","",IFERROR(Tables!$B$10*$U18*$V18,"—"))</f>
        <v/>
      </c>
      <c r="AM18" s="69" t="str">
        <f aca="false">IF($C18="","",IFERROR(INDEX(Tables!$B$15:$B$17,MATCH($E18,Tables!$A$15:$A$17,0)),"—"))</f>
        <v/>
      </c>
      <c r="AN18" s="70" t="str">
        <f aca="false">IF($C18="","",IFERROR($AK18/($AM18*$AL18)*$AF18/Tables!$B$9,"—"))</f>
        <v/>
      </c>
      <c r="AO18" s="72" t="str">
        <f aca="false">IF($C18="","",IFERROR(IF($F18="Outdoor",Tables!$B$8,$R18/3600),"—"))</f>
        <v/>
      </c>
      <c r="AP18" s="73" t="str">
        <f aca="false">IF($C18="","",IFERROR($S18*$AN18/$AO18,"—"))</f>
        <v/>
      </c>
      <c r="AQ18" s="74" t="str">
        <f aca="false">IF($C18="","",IFERROR(IF($AP18&lt;Tables!$B$7,"High",IF($F18="Outdoor","Medium",IF($AP18&lt;$Q18,"Medium","Low"))),"—"))</f>
        <v/>
      </c>
      <c r="AR18" s="75" t="str">
        <f aca="false">IF($C18="","",IFERROR(-$S18/$AO18*LN($V18*$AM18/Tables!$B$6)/60,"—"))</f>
        <v/>
      </c>
      <c r="AS18" s="76" t="str">
        <f aca="false">IF($C18="","",IFERROR(INDEX(Tables!$B$22:$J$24,MATCH($E18,Tables!$A$22:$A$24,0),MATCH($AQ18&amp;"-"&amp;$T18,Tables!$B$21:$J$21,0)),"—"))</f>
        <v/>
      </c>
      <c r="AT18" s="77" t="str">
        <f aca="false">IF($C18="","",IFERROR((3*$AP18/(2*PI()))^(1/3),"—"))</f>
        <v/>
      </c>
      <c r="AU18" s="78" t="str">
        <f aca="false">IF($C18="","",IFERROR(IF(ISNUMBER(SEARCH("Zone 0",IFERROR(LEFT($AS18,FIND("(",$AS18)-1),$AS18))),"Ga",IF(ISNUMBER(SEARCH("Zone 1",IFERROR(LEFT($AS18,FIND("(",$AS18)-1),$AS18))),"Gb",IF(ISNUMBER(SEARCH("Zone 2",IFERROR(LEFT($AS18,FIND("(",$AS18)-1),$AS18))),"Gc","None required"))),"—"))</f>
        <v/>
      </c>
      <c r="AV18" s="74" t="str">
        <f aca="false">IF($C18="","",IFERROR(IF($AU18="None required","—",$AB18&amp;" "&amp;INDEX(Tables!$B$31:$B$37,MATCH($AA18-0.001,Tables!$A$31:$A$37,1))),"—"))</f>
        <v/>
      </c>
      <c r="AW18" s="79" t="str">
        <f aca="false">IF($C18="","",TRIM(IF(IF(ISNUMBER($Z18),$H18&lt;$Z18-5,FALSE()),"Handled &gt;5°C below flash point — may not need zoning (unless mist/spray). ","")&amp;IF(IF(AND($D18="Pool evaporation",ISNUMBER($Y18)),$H18&gt;=$Y18,FALSE()),"Liquid at/above boiling point — pool equation not valid, treat as gas release. ","")&amp;IF(IF(AND($D18="Liquid jet",$M18="",ISNUMBER($Y18)),$H18&lt;$Y18,FALSE()),"Non-flashing liquid: vapour rate set to 0 — model the resulting pool on its own row. ","")&amp;IF(AND($D18="Gas/vapour jet",NOT(ISNUMBER($W18))),"No γ in library for this substance. ","")&amp;IF(IF(ISNUMBER($AC18),$AC18&gt;1.2,FALSE()),"Heavier than air — extend zone at low level / into pits and drains. ","")&amp;IF($AQ18="Low","Vz ≥ V0: ventilation cannot control the release — whole room affected. ","")&amp;IF(AND($F18="Indoor",OR($Q18="",$R18="")),"Indoor: enter room volume and air changes. ","")))</f>
        <v/>
      </c>
    </row>
    <row r="19" customFormat="false" ht="15" hidden="false" customHeight="false" outlineLevel="0" collapsed="false">
      <c r="A19" s="56"/>
      <c r="B19" s="57"/>
      <c r="C19" s="56"/>
      <c r="D19" s="56"/>
      <c r="E19" s="56"/>
      <c r="F19" s="56"/>
      <c r="G19" s="58"/>
      <c r="H19" s="59"/>
      <c r="I19" s="59"/>
      <c r="J19" s="60"/>
      <c r="K19" s="58"/>
      <c r="L19" s="58"/>
      <c r="M19" s="58"/>
      <c r="N19" s="58"/>
      <c r="O19" s="58"/>
      <c r="P19" s="58"/>
      <c r="Q19" s="61"/>
      <c r="R19" s="59"/>
      <c r="S19" s="59"/>
      <c r="T19" s="56"/>
      <c r="U19" s="62" t="str">
        <f aca="false">IF($C19="","",IFERROR(IF(INDEX(Substances!$C$2:$C$60,MATCH($C19,Substances!$A$2:$A$60,0))="","",INDEX(Substances!$C$2:$C$60,MATCH($C19,Substances!$A$2:$A$60,0))),"—"))</f>
        <v/>
      </c>
      <c r="V19" s="63" t="str">
        <f aca="false">IF($C19="","",IFERROR(IF(INDEX(Substances!$D$2:$D$60,MATCH($C19,Substances!$A$2:$A$60,0))="","",INDEX(Substances!$D$2:$D$60,MATCH($C19,Substances!$A$2:$A$60,0))),"—"))</f>
        <v/>
      </c>
      <c r="W19" s="62" t="str">
        <f aca="false">IF($C19="","",IFERROR(IF(INDEX(Substances!$F$2:$F$60,MATCH($C19,Substances!$A$2:$A$60,0))="","",INDEX(Substances!$F$2:$F$60,MATCH($C19,Substances!$A$2:$A$60,0))),"—"))</f>
        <v/>
      </c>
      <c r="X19" s="64" t="str">
        <f aca="false">IF($C19="","",IFERROR(IF(INDEX(Substances!$G$2:$G$60,MATCH($C19,Substances!$A$2:$A$60,0))="","",INDEX(Substances!$G$2:$G$60,MATCH($C19,Substances!$A$2:$A$60,0))),"—"))</f>
        <v/>
      </c>
      <c r="Y19" s="63" t="str">
        <f aca="false">IF($C19="","",IFERROR(IF(INDEX(Substances!$H$2:$H$60,MATCH($C19,Substances!$A$2:$A$60,0))="","",INDEX(Substances!$H$2:$H$60,MATCH($C19,Substances!$A$2:$A$60,0))),"—"))</f>
        <v/>
      </c>
      <c r="Z19" s="64" t="str">
        <f aca="false">IF($C19="","",IFERROR(IF(INDEX(Substances!$I$2:$I$60,MATCH($C19,Substances!$A$2:$A$60,0))="","",INDEX(Substances!$I$2:$I$60,MATCH($C19,Substances!$A$2:$A$60,0))),"—"))</f>
        <v/>
      </c>
      <c r="AA19" s="64" t="str">
        <f aca="false">IF($C19="","",IFERROR(IF(INDEX(Substances!$J$2:$J$60,MATCH($C19,Substances!$A$2:$A$60,0))="","",INDEX(Substances!$J$2:$J$60,MATCH($C19,Substances!$A$2:$A$60,0))),"—"))</f>
        <v/>
      </c>
      <c r="AB19" s="65" t="str">
        <f aca="false">IF($C19="","",IFERROR(IF(INDEX(Substances!$K$2:$K$60,MATCH($C19,Substances!$A$2:$A$60,0))="","",INDEX(Substances!$K$2:$K$60,MATCH($C19,Substances!$A$2:$A$60,0))),"—"))</f>
        <v/>
      </c>
      <c r="AC19" s="62" t="str">
        <f aca="false">IF($C19="","",IFERROR($U19/28.96,"—"))</f>
        <v/>
      </c>
      <c r="AD19" s="66" t="str">
        <f aca="false">IF($C19="","",IFERROR(N($G19)*100000+Tables!$B$4,"—"))</f>
        <v/>
      </c>
      <c r="AE19" s="67" t="str">
        <f aca="false">IF($C19="","",IFERROR($H19+273.15,"—"))</f>
        <v/>
      </c>
      <c r="AF19" s="67" t="str">
        <f aca="false">IF($C19="","",IFERROR($I19+273.15,"—"))</f>
        <v/>
      </c>
      <c r="AG19" s="66" t="str">
        <f aca="false">IF($C19="","",IFERROR(IF($D19="Gas/vapour jet",Tables!$B$4*(($W19+1)/2)^($W19/($W19-1)),"n/a"),"—"))</f>
        <v/>
      </c>
      <c r="AH19" s="68" t="str">
        <f aca="false">IF($C19="","",IFERROR(IF($D19="Gas/vapour jet",IF($AD19&gt;$AG19,"Choked","Subsonic"),"n/a"),"—"))</f>
        <v/>
      </c>
      <c r="AI19" s="69" t="str">
        <f aca="false">IF($C19="","",IFERROR(IF($D19="Gas/vapour jet","n/a",MIN(101.325,IF($P19&lt;&gt;"",$P19,IF(N(INDEX(Substances!$L$2:$L$60,MATCH($C19,Substances!$A$2:$A$60,0)))&lt;&gt;0,0.133322*10^(INDEX(Substances!$L$2:$L$60,MATCH($C19,Substances!$A$2:$A$60,0))-INDEX(Substances!$M$2:$M$60,MATCH($C19,Substances!$A$2:$A$60,0))/(INDEX(Substances!$N$2:$N$60,MATCH($C19,Substances!$A$2:$A$60,0))+$H19)),101.325*EXP(10.58*(1-($Y19+273.15)/$AE19)))))),"—"))</f>
        <v/>
      </c>
      <c r="AJ19" s="70" t="str">
        <f aca="false">IF($C19="","",IFERROR(IF($D19="Liquid jet",$K19*$J19*0.000001*SQRT(2*$X19*N($G19)*100000),"n/a"),"—"))</f>
        <v/>
      </c>
      <c r="AK19" s="71" t="str">
        <f aca="false">IF($C19="","",IFERROR(IF($D19="Gas/vapour jet",IF($AH19="Choked",$K19*$J19*0.000001*$AD19*SQRT($W19*$U19/($L19*Tables!$B$5*$AE19)*(2/($W19+1))^(($W19+1)/($W19-1))),$K19*$J19*0.000001*$AD19*SQRT($U19/($L19*Tables!$B$5*$AE19)*(2*$W19/($W19-1))*(1-(Tables!$B$4/$AD19)^(($W19-1)/$W19))*(Tables!$B$4/$AD19)^(2/$W19))),IF($D19="Liquid jet",$AJ19*IF($M19&lt;&gt;"",$M19,IF($H19&gt;=$Y19,1,0)),6.55*$O19^0.78*$N19*$AI19*$U19^0.667/(Tables!$B$5*$AE19))),"—"))</f>
        <v/>
      </c>
      <c r="AL19" s="72" t="str">
        <f aca="false">IF($C19="","",IFERROR(Tables!$B$10*$U19*$V19,"—"))</f>
        <v/>
      </c>
      <c r="AM19" s="69" t="str">
        <f aca="false">IF($C19="","",IFERROR(INDEX(Tables!$B$15:$B$17,MATCH($E19,Tables!$A$15:$A$17,0)),"—"))</f>
        <v/>
      </c>
      <c r="AN19" s="70" t="str">
        <f aca="false">IF($C19="","",IFERROR($AK19/($AM19*$AL19)*$AF19/Tables!$B$9,"—"))</f>
        <v/>
      </c>
      <c r="AO19" s="72" t="str">
        <f aca="false">IF($C19="","",IFERROR(IF($F19="Outdoor",Tables!$B$8,$R19/3600),"—"))</f>
        <v/>
      </c>
      <c r="AP19" s="73" t="str">
        <f aca="false">IF($C19="","",IFERROR($S19*$AN19/$AO19,"—"))</f>
        <v/>
      </c>
      <c r="AQ19" s="74" t="str">
        <f aca="false">IF($C19="","",IFERROR(IF($AP19&lt;Tables!$B$7,"High",IF($F19="Outdoor","Medium",IF($AP19&lt;$Q19,"Medium","Low"))),"—"))</f>
        <v/>
      </c>
      <c r="AR19" s="75" t="str">
        <f aca="false">IF($C19="","",IFERROR(-$S19/$AO19*LN($V19*$AM19/Tables!$B$6)/60,"—"))</f>
        <v/>
      </c>
      <c r="AS19" s="76" t="str">
        <f aca="false">IF($C19="","",IFERROR(INDEX(Tables!$B$22:$J$24,MATCH($E19,Tables!$A$22:$A$24,0),MATCH($AQ19&amp;"-"&amp;$T19,Tables!$B$21:$J$21,0)),"—"))</f>
        <v/>
      </c>
      <c r="AT19" s="77" t="str">
        <f aca="false">IF($C19="","",IFERROR((3*$AP19/(2*PI()))^(1/3),"—"))</f>
        <v/>
      </c>
      <c r="AU19" s="78" t="str">
        <f aca="false">IF($C19="","",IFERROR(IF(ISNUMBER(SEARCH("Zone 0",IFERROR(LEFT($AS19,FIND("(",$AS19)-1),$AS19))),"Ga",IF(ISNUMBER(SEARCH("Zone 1",IFERROR(LEFT($AS19,FIND("(",$AS19)-1),$AS19))),"Gb",IF(ISNUMBER(SEARCH("Zone 2",IFERROR(LEFT($AS19,FIND("(",$AS19)-1),$AS19))),"Gc","None required"))),"—"))</f>
        <v/>
      </c>
      <c r="AV19" s="74" t="str">
        <f aca="false">IF($C19="","",IFERROR(IF($AU19="None required","—",$AB19&amp;" "&amp;INDEX(Tables!$B$31:$B$37,MATCH($AA19-0.001,Tables!$A$31:$A$37,1))),"—"))</f>
        <v/>
      </c>
      <c r="AW19" s="79" t="str">
        <f aca="false">IF($C19="","",TRIM(IF(IF(ISNUMBER($Z19),$H19&lt;$Z19-5,FALSE()),"Handled &gt;5°C below flash point — may not need zoning (unless mist/spray). ","")&amp;IF(IF(AND($D19="Pool evaporation",ISNUMBER($Y19)),$H19&gt;=$Y19,FALSE()),"Liquid at/above boiling point — pool equation not valid, treat as gas release. ","")&amp;IF(IF(AND($D19="Liquid jet",$M19="",ISNUMBER($Y19)),$H19&lt;$Y19,FALSE()),"Non-flashing liquid: vapour rate set to 0 — model the resulting pool on its own row. ","")&amp;IF(AND($D19="Gas/vapour jet",NOT(ISNUMBER($W19))),"No γ in library for this substance. ","")&amp;IF(IF(ISNUMBER($AC19),$AC19&gt;1.2,FALSE()),"Heavier than air — extend zone at low level / into pits and drains. ","")&amp;IF($AQ19="Low","Vz ≥ V0: ventilation cannot control the release — whole room affected. ","")&amp;IF(AND($F19="Indoor",OR($Q19="",$R19="")),"Indoor: enter room volume and air changes. ","")))</f>
        <v/>
      </c>
    </row>
    <row r="20" customFormat="false" ht="15" hidden="false" customHeight="false" outlineLevel="0" collapsed="false">
      <c r="A20" s="56"/>
      <c r="B20" s="57"/>
      <c r="C20" s="56"/>
      <c r="D20" s="56"/>
      <c r="E20" s="56"/>
      <c r="F20" s="56"/>
      <c r="G20" s="58"/>
      <c r="H20" s="59"/>
      <c r="I20" s="59"/>
      <c r="J20" s="60"/>
      <c r="K20" s="58"/>
      <c r="L20" s="58"/>
      <c r="M20" s="58"/>
      <c r="N20" s="58"/>
      <c r="O20" s="58"/>
      <c r="P20" s="58"/>
      <c r="Q20" s="61"/>
      <c r="R20" s="59"/>
      <c r="S20" s="59"/>
      <c r="T20" s="56"/>
      <c r="U20" s="62" t="str">
        <f aca="false">IF($C20="","",IFERROR(IF(INDEX(Substances!$C$2:$C$60,MATCH($C20,Substances!$A$2:$A$60,0))="","",INDEX(Substances!$C$2:$C$60,MATCH($C20,Substances!$A$2:$A$60,0))),"—"))</f>
        <v/>
      </c>
      <c r="V20" s="63" t="str">
        <f aca="false">IF($C20="","",IFERROR(IF(INDEX(Substances!$D$2:$D$60,MATCH($C20,Substances!$A$2:$A$60,0))="","",INDEX(Substances!$D$2:$D$60,MATCH($C20,Substances!$A$2:$A$60,0))),"—"))</f>
        <v/>
      </c>
      <c r="W20" s="62" t="str">
        <f aca="false">IF($C20="","",IFERROR(IF(INDEX(Substances!$F$2:$F$60,MATCH($C20,Substances!$A$2:$A$60,0))="","",INDEX(Substances!$F$2:$F$60,MATCH($C20,Substances!$A$2:$A$60,0))),"—"))</f>
        <v/>
      </c>
      <c r="X20" s="64" t="str">
        <f aca="false">IF($C20="","",IFERROR(IF(INDEX(Substances!$G$2:$G$60,MATCH($C20,Substances!$A$2:$A$60,0))="","",INDEX(Substances!$G$2:$G$60,MATCH($C20,Substances!$A$2:$A$60,0))),"—"))</f>
        <v/>
      </c>
      <c r="Y20" s="63" t="str">
        <f aca="false">IF($C20="","",IFERROR(IF(INDEX(Substances!$H$2:$H$60,MATCH($C20,Substances!$A$2:$A$60,0))="","",INDEX(Substances!$H$2:$H$60,MATCH($C20,Substances!$A$2:$A$60,0))),"—"))</f>
        <v/>
      </c>
      <c r="Z20" s="64" t="str">
        <f aca="false">IF($C20="","",IFERROR(IF(INDEX(Substances!$I$2:$I$60,MATCH($C20,Substances!$A$2:$A$60,0))="","",INDEX(Substances!$I$2:$I$60,MATCH($C20,Substances!$A$2:$A$60,0))),"—"))</f>
        <v/>
      </c>
      <c r="AA20" s="64" t="str">
        <f aca="false">IF($C20="","",IFERROR(IF(INDEX(Substances!$J$2:$J$60,MATCH($C20,Substances!$A$2:$A$60,0))="","",INDEX(Substances!$J$2:$J$60,MATCH($C20,Substances!$A$2:$A$60,0))),"—"))</f>
        <v/>
      </c>
      <c r="AB20" s="65" t="str">
        <f aca="false">IF($C20="","",IFERROR(IF(INDEX(Substances!$K$2:$K$60,MATCH($C20,Substances!$A$2:$A$60,0))="","",INDEX(Substances!$K$2:$K$60,MATCH($C20,Substances!$A$2:$A$60,0))),"—"))</f>
        <v/>
      </c>
      <c r="AC20" s="62" t="str">
        <f aca="false">IF($C20="","",IFERROR($U20/28.96,"—"))</f>
        <v/>
      </c>
      <c r="AD20" s="66" t="str">
        <f aca="false">IF($C20="","",IFERROR(N($G20)*100000+Tables!$B$4,"—"))</f>
        <v/>
      </c>
      <c r="AE20" s="67" t="str">
        <f aca="false">IF($C20="","",IFERROR($H20+273.15,"—"))</f>
        <v/>
      </c>
      <c r="AF20" s="67" t="str">
        <f aca="false">IF($C20="","",IFERROR($I20+273.15,"—"))</f>
        <v/>
      </c>
      <c r="AG20" s="66" t="str">
        <f aca="false">IF($C20="","",IFERROR(IF($D20="Gas/vapour jet",Tables!$B$4*(($W20+1)/2)^($W20/($W20-1)),"n/a"),"—"))</f>
        <v/>
      </c>
      <c r="AH20" s="68" t="str">
        <f aca="false">IF($C20="","",IFERROR(IF($D20="Gas/vapour jet",IF($AD20&gt;$AG20,"Choked","Subsonic"),"n/a"),"—"))</f>
        <v/>
      </c>
      <c r="AI20" s="69" t="str">
        <f aca="false">IF($C20="","",IFERROR(IF($D20="Gas/vapour jet","n/a",MIN(101.325,IF($P20&lt;&gt;"",$P20,IF(N(INDEX(Substances!$L$2:$L$60,MATCH($C20,Substances!$A$2:$A$60,0)))&lt;&gt;0,0.133322*10^(INDEX(Substances!$L$2:$L$60,MATCH($C20,Substances!$A$2:$A$60,0))-INDEX(Substances!$M$2:$M$60,MATCH($C20,Substances!$A$2:$A$60,0))/(INDEX(Substances!$N$2:$N$60,MATCH($C20,Substances!$A$2:$A$60,0))+$H20)),101.325*EXP(10.58*(1-($Y20+273.15)/$AE20)))))),"—"))</f>
        <v/>
      </c>
      <c r="AJ20" s="70" t="str">
        <f aca="false">IF($C20="","",IFERROR(IF($D20="Liquid jet",$K20*$J20*0.000001*SQRT(2*$X20*N($G20)*100000),"n/a"),"—"))</f>
        <v/>
      </c>
      <c r="AK20" s="71" t="str">
        <f aca="false">IF($C20="","",IFERROR(IF($D20="Gas/vapour jet",IF($AH20="Choked",$K20*$J20*0.000001*$AD20*SQRT($W20*$U20/($L20*Tables!$B$5*$AE20)*(2/($W20+1))^(($W20+1)/($W20-1))),$K20*$J20*0.000001*$AD20*SQRT($U20/($L20*Tables!$B$5*$AE20)*(2*$W20/($W20-1))*(1-(Tables!$B$4/$AD20)^(($W20-1)/$W20))*(Tables!$B$4/$AD20)^(2/$W20))),IF($D20="Liquid jet",$AJ20*IF($M20&lt;&gt;"",$M20,IF($H20&gt;=$Y20,1,0)),6.55*$O20^0.78*$N20*$AI20*$U20^0.667/(Tables!$B$5*$AE20))),"—"))</f>
        <v/>
      </c>
      <c r="AL20" s="72" t="str">
        <f aca="false">IF($C20="","",IFERROR(Tables!$B$10*$U20*$V20,"—"))</f>
        <v/>
      </c>
      <c r="AM20" s="69" t="str">
        <f aca="false">IF($C20="","",IFERROR(INDEX(Tables!$B$15:$B$17,MATCH($E20,Tables!$A$15:$A$17,0)),"—"))</f>
        <v/>
      </c>
      <c r="AN20" s="70" t="str">
        <f aca="false">IF($C20="","",IFERROR($AK20/($AM20*$AL20)*$AF20/Tables!$B$9,"—"))</f>
        <v/>
      </c>
      <c r="AO20" s="72" t="str">
        <f aca="false">IF($C20="","",IFERROR(IF($F20="Outdoor",Tables!$B$8,$R20/3600),"—"))</f>
        <v/>
      </c>
      <c r="AP20" s="73" t="str">
        <f aca="false">IF($C20="","",IFERROR($S20*$AN20/$AO20,"—"))</f>
        <v/>
      </c>
      <c r="AQ20" s="74" t="str">
        <f aca="false">IF($C20="","",IFERROR(IF($AP20&lt;Tables!$B$7,"High",IF($F20="Outdoor","Medium",IF($AP20&lt;$Q20,"Medium","Low"))),"—"))</f>
        <v/>
      </c>
      <c r="AR20" s="75" t="str">
        <f aca="false">IF($C20="","",IFERROR(-$S20/$AO20*LN($V20*$AM20/Tables!$B$6)/60,"—"))</f>
        <v/>
      </c>
      <c r="AS20" s="76" t="str">
        <f aca="false">IF($C20="","",IFERROR(INDEX(Tables!$B$22:$J$24,MATCH($E20,Tables!$A$22:$A$24,0),MATCH($AQ20&amp;"-"&amp;$T20,Tables!$B$21:$J$21,0)),"—"))</f>
        <v/>
      </c>
      <c r="AT20" s="77" t="str">
        <f aca="false">IF($C20="","",IFERROR((3*$AP20/(2*PI()))^(1/3),"—"))</f>
        <v/>
      </c>
      <c r="AU20" s="78" t="str">
        <f aca="false">IF($C20="","",IFERROR(IF(ISNUMBER(SEARCH("Zone 0",IFERROR(LEFT($AS20,FIND("(",$AS20)-1),$AS20))),"Ga",IF(ISNUMBER(SEARCH("Zone 1",IFERROR(LEFT($AS20,FIND("(",$AS20)-1),$AS20))),"Gb",IF(ISNUMBER(SEARCH("Zone 2",IFERROR(LEFT($AS20,FIND("(",$AS20)-1),$AS20))),"Gc","None required"))),"—"))</f>
        <v/>
      </c>
      <c r="AV20" s="74" t="str">
        <f aca="false">IF($C20="","",IFERROR(IF($AU20="None required","—",$AB20&amp;" "&amp;INDEX(Tables!$B$31:$B$37,MATCH($AA20-0.001,Tables!$A$31:$A$37,1))),"—"))</f>
        <v/>
      </c>
      <c r="AW20" s="79" t="str">
        <f aca="false">IF($C20="","",TRIM(IF(IF(ISNUMBER($Z20),$H20&lt;$Z20-5,FALSE()),"Handled &gt;5°C below flash point — may not need zoning (unless mist/spray). ","")&amp;IF(IF(AND($D20="Pool evaporation",ISNUMBER($Y20)),$H20&gt;=$Y20,FALSE()),"Liquid at/above boiling point — pool equation not valid, treat as gas release. ","")&amp;IF(IF(AND($D20="Liquid jet",$M20="",ISNUMBER($Y20)),$H20&lt;$Y20,FALSE()),"Non-flashing liquid: vapour rate set to 0 — model the resulting pool on its own row. ","")&amp;IF(AND($D20="Gas/vapour jet",NOT(ISNUMBER($W20))),"No γ in library for this substance. ","")&amp;IF(IF(ISNUMBER($AC20),$AC20&gt;1.2,FALSE()),"Heavier than air — extend zone at low level / into pits and drains. ","")&amp;IF($AQ20="Low","Vz ≥ V0: ventilation cannot control the release — whole room affected. ","")&amp;IF(AND($F20="Indoor",OR($Q20="",$R20="")),"Indoor: enter room volume and air changes. ","")))</f>
        <v/>
      </c>
    </row>
    <row r="21" customFormat="false" ht="15" hidden="false" customHeight="false" outlineLevel="0" collapsed="false">
      <c r="A21" s="56"/>
      <c r="B21" s="57"/>
      <c r="C21" s="56"/>
      <c r="D21" s="56"/>
      <c r="E21" s="56"/>
      <c r="F21" s="56"/>
      <c r="G21" s="58"/>
      <c r="H21" s="59"/>
      <c r="I21" s="59"/>
      <c r="J21" s="60"/>
      <c r="K21" s="58"/>
      <c r="L21" s="58"/>
      <c r="M21" s="58"/>
      <c r="N21" s="58"/>
      <c r="O21" s="58"/>
      <c r="P21" s="58"/>
      <c r="Q21" s="61"/>
      <c r="R21" s="59"/>
      <c r="S21" s="59"/>
      <c r="T21" s="56"/>
      <c r="U21" s="62" t="str">
        <f aca="false">IF($C21="","",IFERROR(IF(INDEX(Substances!$C$2:$C$60,MATCH($C21,Substances!$A$2:$A$60,0))="","",INDEX(Substances!$C$2:$C$60,MATCH($C21,Substances!$A$2:$A$60,0))),"—"))</f>
        <v/>
      </c>
      <c r="V21" s="63" t="str">
        <f aca="false">IF($C21="","",IFERROR(IF(INDEX(Substances!$D$2:$D$60,MATCH($C21,Substances!$A$2:$A$60,0))="","",INDEX(Substances!$D$2:$D$60,MATCH($C21,Substances!$A$2:$A$60,0))),"—"))</f>
        <v/>
      </c>
      <c r="W21" s="62" t="str">
        <f aca="false">IF($C21="","",IFERROR(IF(INDEX(Substances!$F$2:$F$60,MATCH($C21,Substances!$A$2:$A$60,0))="","",INDEX(Substances!$F$2:$F$60,MATCH($C21,Substances!$A$2:$A$60,0))),"—"))</f>
        <v/>
      </c>
      <c r="X21" s="64" t="str">
        <f aca="false">IF($C21="","",IFERROR(IF(INDEX(Substances!$G$2:$G$60,MATCH($C21,Substances!$A$2:$A$60,0))="","",INDEX(Substances!$G$2:$G$60,MATCH($C21,Substances!$A$2:$A$60,0))),"—"))</f>
        <v/>
      </c>
      <c r="Y21" s="63" t="str">
        <f aca="false">IF($C21="","",IFERROR(IF(INDEX(Substances!$H$2:$H$60,MATCH($C21,Substances!$A$2:$A$60,0))="","",INDEX(Substances!$H$2:$H$60,MATCH($C21,Substances!$A$2:$A$60,0))),"—"))</f>
        <v/>
      </c>
      <c r="Z21" s="64" t="str">
        <f aca="false">IF($C21="","",IFERROR(IF(INDEX(Substances!$I$2:$I$60,MATCH($C21,Substances!$A$2:$A$60,0))="","",INDEX(Substances!$I$2:$I$60,MATCH($C21,Substances!$A$2:$A$60,0))),"—"))</f>
        <v/>
      </c>
      <c r="AA21" s="64" t="str">
        <f aca="false">IF($C21="","",IFERROR(IF(INDEX(Substances!$J$2:$J$60,MATCH($C21,Substances!$A$2:$A$60,0))="","",INDEX(Substances!$J$2:$J$60,MATCH($C21,Substances!$A$2:$A$60,0))),"—"))</f>
        <v/>
      </c>
      <c r="AB21" s="65" t="str">
        <f aca="false">IF($C21="","",IFERROR(IF(INDEX(Substances!$K$2:$K$60,MATCH($C21,Substances!$A$2:$A$60,0))="","",INDEX(Substances!$K$2:$K$60,MATCH($C21,Substances!$A$2:$A$60,0))),"—"))</f>
        <v/>
      </c>
      <c r="AC21" s="62" t="str">
        <f aca="false">IF($C21="","",IFERROR($U21/28.96,"—"))</f>
        <v/>
      </c>
      <c r="AD21" s="66" t="str">
        <f aca="false">IF($C21="","",IFERROR(N($G21)*100000+Tables!$B$4,"—"))</f>
        <v/>
      </c>
      <c r="AE21" s="67" t="str">
        <f aca="false">IF($C21="","",IFERROR($H21+273.15,"—"))</f>
        <v/>
      </c>
      <c r="AF21" s="67" t="str">
        <f aca="false">IF($C21="","",IFERROR($I21+273.15,"—"))</f>
        <v/>
      </c>
      <c r="AG21" s="66" t="str">
        <f aca="false">IF($C21="","",IFERROR(IF($D21="Gas/vapour jet",Tables!$B$4*(($W21+1)/2)^($W21/($W21-1)),"n/a"),"—"))</f>
        <v/>
      </c>
      <c r="AH21" s="68" t="str">
        <f aca="false">IF($C21="","",IFERROR(IF($D21="Gas/vapour jet",IF($AD21&gt;$AG21,"Choked","Subsonic"),"n/a"),"—"))</f>
        <v/>
      </c>
      <c r="AI21" s="69" t="str">
        <f aca="false">IF($C21="","",IFERROR(IF($D21="Gas/vapour jet","n/a",MIN(101.325,IF($P21&lt;&gt;"",$P21,IF(N(INDEX(Substances!$L$2:$L$60,MATCH($C21,Substances!$A$2:$A$60,0)))&lt;&gt;0,0.133322*10^(INDEX(Substances!$L$2:$L$60,MATCH($C21,Substances!$A$2:$A$60,0))-INDEX(Substances!$M$2:$M$60,MATCH($C21,Substances!$A$2:$A$60,0))/(INDEX(Substances!$N$2:$N$60,MATCH($C21,Substances!$A$2:$A$60,0))+$H21)),101.325*EXP(10.58*(1-($Y21+273.15)/$AE21)))))),"—"))</f>
        <v/>
      </c>
      <c r="AJ21" s="70" t="str">
        <f aca="false">IF($C21="","",IFERROR(IF($D21="Liquid jet",$K21*$J21*0.000001*SQRT(2*$X21*N($G21)*100000),"n/a"),"—"))</f>
        <v/>
      </c>
      <c r="AK21" s="71" t="str">
        <f aca="false">IF($C21="","",IFERROR(IF($D21="Gas/vapour jet",IF($AH21="Choked",$K21*$J21*0.000001*$AD21*SQRT($W21*$U21/($L21*Tables!$B$5*$AE21)*(2/($W21+1))^(($W21+1)/($W21-1))),$K21*$J21*0.000001*$AD21*SQRT($U21/($L21*Tables!$B$5*$AE21)*(2*$W21/($W21-1))*(1-(Tables!$B$4/$AD21)^(($W21-1)/$W21))*(Tables!$B$4/$AD21)^(2/$W21))),IF($D21="Liquid jet",$AJ21*IF($M21&lt;&gt;"",$M21,IF($H21&gt;=$Y21,1,0)),6.55*$O21^0.78*$N21*$AI21*$U21^0.667/(Tables!$B$5*$AE21))),"—"))</f>
        <v/>
      </c>
      <c r="AL21" s="72" t="str">
        <f aca="false">IF($C21="","",IFERROR(Tables!$B$10*$U21*$V21,"—"))</f>
        <v/>
      </c>
      <c r="AM21" s="69" t="str">
        <f aca="false">IF($C21="","",IFERROR(INDEX(Tables!$B$15:$B$17,MATCH($E21,Tables!$A$15:$A$17,0)),"—"))</f>
        <v/>
      </c>
      <c r="AN21" s="70" t="str">
        <f aca="false">IF($C21="","",IFERROR($AK21/($AM21*$AL21)*$AF21/Tables!$B$9,"—"))</f>
        <v/>
      </c>
      <c r="AO21" s="72" t="str">
        <f aca="false">IF($C21="","",IFERROR(IF($F21="Outdoor",Tables!$B$8,$R21/3600),"—"))</f>
        <v/>
      </c>
      <c r="AP21" s="73" t="str">
        <f aca="false">IF($C21="","",IFERROR($S21*$AN21/$AO21,"—"))</f>
        <v/>
      </c>
      <c r="AQ21" s="74" t="str">
        <f aca="false">IF($C21="","",IFERROR(IF($AP21&lt;Tables!$B$7,"High",IF($F21="Outdoor","Medium",IF($AP21&lt;$Q21,"Medium","Low"))),"—"))</f>
        <v/>
      </c>
      <c r="AR21" s="75" t="str">
        <f aca="false">IF($C21="","",IFERROR(-$S21/$AO21*LN($V21*$AM21/Tables!$B$6)/60,"—"))</f>
        <v/>
      </c>
      <c r="AS21" s="76" t="str">
        <f aca="false">IF($C21="","",IFERROR(INDEX(Tables!$B$22:$J$24,MATCH($E21,Tables!$A$22:$A$24,0),MATCH($AQ21&amp;"-"&amp;$T21,Tables!$B$21:$J$21,0)),"—"))</f>
        <v/>
      </c>
      <c r="AT21" s="77" t="str">
        <f aca="false">IF($C21="","",IFERROR((3*$AP21/(2*PI()))^(1/3),"—"))</f>
        <v/>
      </c>
      <c r="AU21" s="78" t="str">
        <f aca="false">IF($C21="","",IFERROR(IF(ISNUMBER(SEARCH("Zone 0",IFERROR(LEFT($AS21,FIND("(",$AS21)-1),$AS21))),"Ga",IF(ISNUMBER(SEARCH("Zone 1",IFERROR(LEFT($AS21,FIND("(",$AS21)-1),$AS21))),"Gb",IF(ISNUMBER(SEARCH("Zone 2",IFERROR(LEFT($AS21,FIND("(",$AS21)-1),$AS21))),"Gc","None required"))),"—"))</f>
        <v/>
      </c>
      <c r="AV21" s="74" t="str">
        <f aca="false">IF($C21="","",IFERROR(IF($AU21="None required","—",$AB21&amp;" "&amp;INDEX(Tables!$B$31:$B$37,MATCH($AA21-0.001,Tables!$A$31:$A$37,1))),"—"))</f>
        <v/>
      </c>
      <c r="AW21" s="79" t="str">
        <f aca="false">IF($C21="","",TRIM(IF(IF(ISNUMBER($Z21),$H21&lt;$Z21-5,FALSE()),"Handled &gt;5°C below flash point — may not need zoning (unless mist/spray). ","")&amp;IF(IF(AND($D21="Pool evaporation",ISNUMBER($Y21)),$H21&gt;=$Y21,FALSE()),"Liquid at/above boiling point — pool equation not valid, treat as gas release. ","")&amp;IF(IF(AND($D21="Liquid jet",$M21="",ISNUMBER($Y21)),$H21&lt;$Y21,FALSE()),"Non-flashing liquid: vapour rate set to 0 — model the resulting pool on its own row. ","")&amp;IF(AND($D21="Gas/vapour jet",NOT(ISNUMBER($W21))),"No γ in library for this substance. ","")&amp;IF(IF(ISNUMBER($AC21),$AC21&gt;1.2,FALSE()),"Heavier than air — extend zone at low level / into pits and drains. ","")&amp;IF($AQ21="Low","Vz ≥ V0: ventilation cannot control the release — whole room affected. ","")&amp;IF(AND($F21="Indoor",OR($Q21="",$R21="")),"Indoor: enter room volume and air changes. ","")))</f>
        <v/>
      </c>
    </row>
    <row r="22" customFormat="false" ht="15" hidden="false" customHeight="false" outlineLevel="0" collapsed="false">
      <c r="A22" s="56"/>
      <c r="B22" s="57"/>
      <c r="C22" s="56"/>
      <c r="D22" s="56"/>
      <c r="E22" s="56"/>
      <c r="F22" s="56"/>
      <c r="G22" s="58"/>
      <c r="H22" s="59"/>
      <c r="I22" s="59"/>
      <c r="J22" s="60"/>
      <c r="K22" s="58"/>
      <c r="L22" s="58"/>
      <c r="M22" s="58"/>
      <c r="N22" s="58"/>
      <c r="O22" s="58"/>
      <c r="P22" s="58"/>
      <c r="Q22" s="61"/>
      <c r="R22" s="59"/>
      <c r="S22" s="59"/>
      <c r="T22" s="56"/>
      <c r="U22" s="62" t="str">
        <f aca="false">IF($C22="","",IFERROR(IF(INDEX(Substances!$C$2:$C$60,MATCH($C22,Substances!$A$2:$A$60,0))="","",INDEX(Substances!$C$2:$C$60,MATCH($C22,Substances!$A$2:$A$60,0))),"—"))</f>
        <v/>
      </c>
      <c r="V22" s="63" t="str">
        <f aca="false">IF($C22="","",IFERROR(IF(INDEX(Substances!$D$2:$D$60,MATCH($C22,Substances!$A$2:$A$60,0))="","",INDEX(Substances!$D$2:$D$60,MATCH($C22,Substances!$A$2:$A$60,0))),"—"))</f>
        <v/>
      </c>
      <c r="W22" s="62" t="str">
        <f aca="false">IF($C22="","",IFERROR(IF(INDEX(Substances!$F$2:$F$60,MATCH($C22,Substances!$A$2:$A$60,0))="","",INDEX(Substances!$F$2:$F$60,MATCH($C22,Substances!$A$2:$A$60,0))),"—"))</f>
        <v/>
      </c>
      <c r="X22" s="64" t="str">
        <f aca="false">IF($C22="","",IFERROR(IF(INDEX(Substances!$G$2:$G$60,MATCH($C22,Substances!$A$2:$A$60,0))="","",INDEX(Substances!$G$2:$G$60,MATCH($C22,Substances!$A$2:$A$60,0))),"—"))</f>
        <v/>
      </c>
      <c r="Y22" s="63" t="str">
        <f aca="false">IF($C22="","",IFERROR(IF(INDEX(Substances!$H$2:$H$60,MATCH($C22,Substances!$A$2:$A$60,0))="","",INDEX(Substances!$H$2:$H$60,MATCH($C22,Substances!$A$2:$A$60,0))),"—"))</f>
        <v/>
      </c>
      <c r="Z22" s="64" t="str">
        <f aca="false">IF($C22="","",IFERROR(IF(INDEX(Substances!$I$2:$I$60,MATCH($C22,Substances!$A$2:$A$60,0))="","",INDEX(Substances!$I$2:$I$60,MATCH($C22,Substances!$A$2:$A$60,0))),"—"))</f>
        <v/>
      </c>
      <c r="AA22" s="64" t="str">
        <f aca="false">IF($C22="","",IFERROR(IF(INDEX(Substances!$J$2:$J$60,MATCH($C22,Substances!$A$2:$A$60,0))="","",INDEX(Substances!$J$2:$J$60,MATCH($C22,Substances!$A$2:$A$60,0))),"—"))</f>
        <v/>
      </c>
      <c r="AB22" s="65" t="str">
        <f aca="false">IF($C22="","",IFERROR(IF(INDEX(Substances!$K$2:$K$60,MATCH($C22,Substances!$A$2:$A$60,0))="","",INDEX(Substances!$K$2:$K$60,MATCH($C22,Substances!$A$2:$A$60,0))),"—"))</f>
        <v/>
      </c>
      <c r="AC22" s="62" t="str">
        <f aca="false">IF($C22="","",IFERROR($U22/28.96,"—"))</f>
        <v/>
      </c>
      <c r="AD22" s="66" t="str">
        <f aca="false">IF($C22="","",IFERROR(N($G22)*100000+Tables!$B$4,"—"))</f>
        <v/>
      </c>
      <c r="AE22" s="67" t="str">
        <f aca="false">IF($C22="","",IFERROR($H22+273.15,"—"))</f>
        <v/>
      </c>
      <c r="AF22" s="67" t="str">
        <f aca="false">IF($C22="","",IFERROR($I22+273.15,"—"))</f>
        <v/>
      </c>
      <c r="AG22" s="66" t="str">
        <f aca="false">IF($C22="","",IFERROR(IF($D22="Gas/vapour jet",Tables!$B$4*(($W22+1)/2)^($W22/($W22-1)),"n/a"),"—"))</f>
        <v/>
      </c>
      <c r="AH22" s="68" t="str">
        <f aca="false">IF($C22="","",IFERROR(IF($D22="Gas/vapour jet",IF($AD22&gt;$AG22,"Choked","Subsonic"),"n/a"),"—"))</f>
        <v/>
      </c>
      <c r="AI22" s="69" t="str">
        <f aca="false">IF($C22="","",IFERROR(IF($D22="Gas/vapour jet","n/a",MIN(101.325,IF($P22&lt;&gt;"",$P22,IF(N(INDEX(Substances!$L$2:$L$60,MATCH($C22,Substances!$A$2:$A$60,0)))&lt;&gt;0,0.133322*10^(INDEX(Substances!$L$2:$L$60,MATCH($C22,Substances!$A$2:$A$60,0))-INDEX(Substances!$M$2:$M$60,MATCH($C22,Substances!$A$2:$A$60,0))/(INDEX(Substances!$N$2:$N$60,MATCH($C22,Substances!$A$2:$A$60,0))+$H22)),101.325*EXP(10.58*(1-($Y22+273.15)/$AE22)))))),"—"))</f>
        <v/>
      </c>
      <c r="AJ22" s="70" t="str">
        <f aca="false">IF($C22="","",IFERROR(IF($D22="Liquid jet",$K22*$J22*0.000001*SQRT(2*$X22*N($G22)*100000),"n/a"),"—"))</f>
        <v/>
      </c>
      <c r="AK22" s="71" t="str">
        <f aca="false">IF($C22="","",IFERROR(IF($D22="Gas/vapour jet",IF($AH22="Choked",$K22*$J22*0.000001*$AD22*SQRT($W22*$U22/($L22*Tables!$B$5*$AE22)*(2/($W22+1))^(($W22+1)/($W22-1))),$K22*$J22*0.000001*$AD22*SQRT($U22/($L22*Tables!$B$5*$AE22)*(2*$W22/($W22-1))*(1-(Tables!$B$4/$AD22)^(($W22-1)/$W22))*(Tables!$B$4/$AD22)^(2/$W22))),IF($D22="Liquid jet",$AJ22*IF($M22&lt;&gt;"",$M22,IF($H22&gt;=$Y22,1,0)),6.55*$O22^0.78*$N22*$AI22*$U22^0.667/(Tables!$B$5*$AE22))),"—"))</f>
        <v/>
      </c>
      <c r="AL22" s="72" t="str">
        <f aca="false">IF($C22="","",IFERROR(Tables!$B$10*$U22*$V22,"—"))</f>
        <v/>
      </c>
      <c r="AM22" s="69" t="str">
        <f aca="false">IF($C22="","",IFERROR(INDEX(Tables!$B$15:$B$17,MATCH($E22,Tables!$A$15:$A$17,0)),"—"))</f>
        <v/>
      </c>
      <c r="AN22" s="70" t="str">
        <f aca="false">IF($C22="","",IFERROR($AK22/($AM22*$AL22)*$AF22/Tables!$B$9,"—"))</f>
        <v/>
      </c>
      <c r="AO22" s="72" t="str">
        <f aca="false">IF($C22="","",IFERROR(IF($F22="Outdoor",Tables!$B$8,$R22/3600),"—"))</f>
        <v/>
      </c>
      <c r="AP22" s="73" t="str">
        <f aca="false">IF($C22="","",IFERROR($S22*$AN22/$AO22,"—"))</f>
        <v/>
      </c>
      <c r="AQ22" s="74" t="str">
        <f aca="false">IF($C22="","",IFERROR(IF($AP22&lt;Tables!$B$7,"High",IF($F22="Outdoor","Medium",IF($AP22&lt;$Q22,"Medium","Low"))),"—"))</f>
        <v/>
      </c>
      <c r="AR22" s="75" t="str">
        <f aca="false">IF($C22="","",IFERROR(-$S22/$AO22*LN($V22*$AM22/Tables!$B$6)/60,"—"))</f>
        <v/>
      </c>
      <c r="AS22" s="76" t="str">
        <f aca="false">IF($C22="","",IFERROR(INDEX(Tables!$B$22:$J$24,MATCH($E22,Tables!$A$22:$A$24,0),MATCH($AQ22&amp;"-"&amp;$T22,Tables!$B$21:$J$21,0)),"—"))</f>
        <v/>
      </c>
      <c r="AT22" s="77" t="str">
        <f aca="false">IF($C22="","",IFERROR((3*$AP22/(2*PI()))^(1/3),"—"))</f>
        <v/>
      </c>
      <c r="AU22" s="78" t="str">
        <f aca="false">IF($C22="","",IFERROR(IF(ISNUMBER(SEARCH("Zone 0",IFERROR(LEFT($AS22,FIND("(",$AS22)-1),$AS22))),"Ga",IF(ISNUMBER(SEARCH("Zone 1",IFERROR(LEFT($AS22,FIND("(",$AS22)-1),$AS22))),"Gb",IF(ISNUMBER(SEARCH("Zone 2",IFERROR(LEFT($AS22,FIND("(",$AS22)-1),$AS22))),"Gc","None required"))),"—"))</f>
        <v/>
      </c>
      <c r="AV22" s="74" t="str">
        <f aca="false">IF($C22="","",IFERROR(IF($AU22="None required","—",$AB22&amp;" "&amp;INDEX(Tables!$B$31:$B$37,MATCH($AA22-0.001,Tables!$A$31:$A$37,1))),"—"))</f>
        <v/>
      </c>
      <c r="AW22" s="79" t="str">
        <f aca="false">IF($C22="","",TRIM(IF(IF(ISNUMBER($Z22),$H22&lt;$Z22-5,FALSE()),"Handled &gt;5°C below flash point — may not need zoning (unless mist/spray). ","")&amp;IF(IF(AND($D22="Pool evaporation",ISNUMBER($Y22)),$H22&gt;=$Y22,FALSE()),"Liquid at/above boiling point — pool equation not valid, treat as gas release. ","")&amp;IF(IF(AND($D22="Liquid jet",$M22="",ISNUMBER($Y22)),$H22&lt;$Y22,FALSE()),"Non-flashing liquid: vapour rate set to 0 — model the resulting pool on its own row. ","")&amp;IF(AND($D22="Gas/vapour jet",NOT(ISNUMBER($W22))),"No γ in library for this substance. ","")&amp;IF(IF(ISNUMBER($AC22),$AC22&gt;1.2,FALSE()),"Heavier than air — extend zone at low level / into pits and drains. ","")&amp;IF($AQ22="Low","Vz ≥ V0: ventilation cannot control the release — whole room affected. ","")&amp;IF(AND($F22="Indoor",OR($Q22="",$R22="")),"Indoor: enter room volume and air changes. ","")))</f>
        <v/>
      </c>
    </row>
    <row r="23" customFormat="false" ht="15" hidden="false" customHeight="false" outlineLevel="0" collapsed="false">
      <c r="A23" s="56"/>
      <c r="B23" s="57"/>
      <c r="C23" s="56"/>
      <c r="D23" s="56"/>
      <c r="E23" s="56"/>
      <c r="F23" s="56"/>
      <c r="G23" s="58"/>
      <c r="H23" s="59"/>
      <c r="I23" s="59"/>
      <c r="J23" s="60"/>
      <c r="K23" s="58"/>
      <c r="L23" s="58"/>
      <c r="M23" s="58"/>
      <c r="N23" s="58"/>
      <c r="O23" s="58"/>
      <c r="P23" s="58"/>
      <c r="Q23" s="61"/>
      <c r="R23" s="59"/>
      <c r="S23" s="59"/>
      <c r="T23" s="56"/>
      <c r="U23" s="62" t="str">
        <f aca="false">IF($C23="","",IFERROR(IF(INDEX(Substances!$C$2:$C$60,MATCH($C23,Substances!$A$2:$A$60,0))="","",INDEX(Substances!$C$2:$C$60,MATCH($C23,Substances!$A$2:$A$60,0))),"—"))</f>
        <v/>
      </c>
      <c r="V23" s="63" t="str">
        <f aca="false">IF($C23="","",IFERROR(IF(INDEX(Substances!$D$2:$D$60,MATCH($C23,Substances!$A$2:$A$60,0))="","",INDEX(Substances!$D$2:$D$60,MATCH($C23,Substances!$A$2:$A$60,0))),"—"))</f>
        <v/>
      </c>
      <c r="W23" s="62" t="str">
        <f aca="false">IF($C23="","",IFERROR(IF(INDEX(Substances!$F$2:$F$60,MATCH($C23,Substances!$A$2:$A$60,0))="","",INDEX(Substances!$F$2:$F$60,MATCH($C23,Substances!$A$2:$A$60,0))),"—"))</f>
        <v/>
      </c>
      <c r="X23" s="64" t="str">
        <f aca="false">IF($C23="","",IFERROR(IF(INDEX(Substances!$G$2:$G$60,MATCH($C23,Substances!$A$2:$A$60,0))="","",INDEX(Substances!$G$2:$G$60,MATCH($C23,Substances!$A$2:$A$60,0))),"—"))</f>
        <v/>
      </c>
      <c r="Y23" s="63" t="str">
        <f aca="false">IF($C23="","",IFERROR(IF(INDEX(Substances!$H$2:$H$60,MATCH($C23,Substances!$A$2:$A$60,0))="","",INDEX(Substances!$H$2:$H$60,MATCH($C23,Substances!$A$2:$A$60,0))),"—"))</f>
        <v/>
      </c>
      <c r="Z23" s="64" t="str">
        <f aca="false">IF($C23="","",IFERROR(IF(INDEX(Substances!$I$2:$I$60,MATCH($C23,Substances!$A$2:$A$60,0))="","",INDEX(Substances!$I$2:$I$60,MATCH($C23,Substances!$A$2:$A$60,0))),"—"))</f>
        <v/>
      </c>
      <c r="AA23" s="64" t="str">
        <f aca="false">IF($C23="","",IFERROR(IF(INDEX(Substances!$J$2:$J$60,MATCH($C23,Substances!$A$2:$A$60,0))="","",INDEX(Substances!$J$2:$J$60,MATCH($C23,Substances!$A$2:$A$60,0))),"—"))</f>
        <v/>
      </c>
      <c r="AB23" s="65" t="str">
        <f aca="false">IF($C23="","",IFERROR(IF(INDEX(Substances!$K$2:$K$60,MATCH($C23,Substances!$A$2:$A$60,0))="","",INDEX(Substances!$K$2:$K$60,MATCH($C23,Substances!$A$2:$A$60,0))),"—"))</f>
        <v/>
      </c>
      <c r="AC23" s="62" t="str">
        <f aca="false">IF($C23="","",IFERROR($U23/28.96,"—"))</f>
        <v/>
      </c>
      <c r="AD23" s="66" t="str">
        <f aca="false">IF($C23="","",IFERROR(N($G23)*100000+Tables!$B$4,"—"))</f>
        <v/>
      </c>
      <c r="AE23" s="67" t="str">
        <f aca="false">IF($C23="","",IFERROR($H23+273.15,"—"))</f>
        <v/>
      </c>
      <c r="AF23" s="67" t="str">
        <f aca="false">IF($C23="","",IFERROR($I23+273.15,"—"))</f>
        <v/>
      </c>
      <c r="AG23" s="66" t="str">
        <f aca="false">IF($C23="","",IFERROR(IF($D23="Gas/vapour jet",Tables!$B$4*(($W23+1)/2)^($W23/($W23-1)),"n/a"),"—"))</f>
        <v/>
      </c>
      <c r="AH23" s="68" t="str">
        <f aca="false">IF($C23="","",IFERROR(IF($D23="Gas/vapour jet",IF($AD23&gt;$AG23,"Choked","Subsonic"),"n/a"),"—"))</f>
        <v/>
      </c>
      <c r="AI23" s="69" t="str">
        <f aca="false">IF($C23="","",IFERROR(IF($D23="Gas/vapour jet","n/a",MIN(101.325,IF($P23&lt;&gt;"",$P23,IF(N(INDEX(Substances!$L$2:$L$60,MATCH($C23,Substances!$A$2:$A$60,0)))&lt;&gt;0,0.133322*10^(INDEX(Substances!$L$2:$L$60,MATCH($C23,Substances!$A$2:$A$60,0))-INDEX(Substances!$M$2:$M$60,MATCH($C23,Substances!$A$2:$A$60,0))/(INDEX(Substances!$N$2:$N$60,MATCH($C23,Substances!$A$2:$A$60,0))+$H23)),101.325*EXP(10.58*(1-($Y23+273.15)/$AE23)))))),"—"))</f>
        <v/>
      </c>
      <c r="AJ23" s="70" t="str">
        <f aca="false">IF($C23="","",IFERROR(IF($D23="Liquid jet",$K23*$J23*0.000001*SQRT(2*$X23*N($G23)*100000),"n/a"),"—"))</f>
        <v/>
      </c>
      <c r="AK23" s="71" t="str">
        <f aca="false">IF($C23="","",IFERROR(IF($D23="Gas/vapour jet",IF($AH23="Choked",$K23*$J23*0.000001*$AD23*SQRT($W23*$U23/($L23*Tables!$B$5*$AE23)*(2/($W23+1))^(($W23+1)/($W23-1))),$K23*$J23*0.000001*$AD23*SQRT($U23/($L23*Tables!$B$5*$AE23)*(2*$W23/($W23-1))*(1-(Tables!$B$4/$AD23)^(($W23-1)/$W23))*(Tables!$B$4/$AD23)^(2/$W23))),IF($D23="Liquid jet",$AJ23*IF($M23&lt;&gt;"",$M23,IF($H23&gt;=$Y23,1,0)),6.55*$O23^0.78*$N23*$AI23*$U23^0.667/(Tables!$B$5*$AE23))),"—"))</f>
        <v/>
      </c>
      <c r="AL23" s="72" t="str">
        <f aca="false">IF($C23="","",IFERROR(Tables!$B$10*$U23*$V23,"—"))</f>
        <v/>
      </c>
      <c r="AM23" s="69" t="str">
        <f aca="false">IF($C23="","",IFERROR(INDEX(Tables!$B$15:$B$17,MATCH($E23,Tables!$A$15:$A$17,0)),"—"))</f>
        <v/>
      </c>
      <c r="AN23" s="70" t="str">
        <f aca="false">IF($C23="","",IFERROR($AK23/($AM23*$AL23)*$AF23/Tables!$B$9,"—"))</f>
        <v/>
      </c>
      <c r="AO23" s="72" t="str">
        <f aca="false">IF($C23="","",IFERROR(IF($F23="Outdoor",Tables!$B$8,$R23/3600),"—"))</f>
        <v/>
      </c>
      <c r="AP23" s="73" t="str">
        <f aca="false">IF($C23="","",IFERROR($S23*$AN23/$AO23,"—"))</f>
        <v/>
      </c>
      <c r="AQ23" s="74" t="str">
        <f aca="false">IF($C23="","",IFERROR(IF($AP23&lt;Tables!$B$7,"High",IF($F23="Outdoor","Medium",IF($AP23&lt;$Q23,"Medium","Low"))),"—"))</f>
        <v/>
      </c>
      <c r="AR23" s="75" t="str">
        <f aca="false">IF($C23="","",IFERROR(-$S23/$AO23*LN($V23*$AM23/Tables!$B$6)/60,"—"))</f>
        <v/>
      </c>
      <c r="AS23" s="76" t="str">
        <f aca="false">IF($C23="","",IFERROR(INDEX(Tables!$B$22:$J$24,MATCH($E23,Tables!$A$22:$A$24,0),MATCH($AQ23&amp;"-"&amp;$T23,Tables!$B$21:$J$21,0)),"—"))</f>
        <v/>
      </c>
      <c r="AT23" s="77" t="str">
        <f aca="false">IF($C23="","",IFERROR((3*$AP23/(2*PI()))^(1/3),"—"))</f>
        <v/>
      </c>
      <c r="AU23" s="78" t="str">
        <f aca="false">IF($C23="","",IFERROR(IF(ISNUMBER(SEARCH("Zone 0",IFERROR(LEFT($AS23,FIND("(",$AS23)-1),$AS23))),"Ga",IF(ISNUMBER(SEARCH("Zone 1",IFERROR(LEFT($AS23,FIND("(",$AS23)-1),$AS23))),"Gb",IF(ISNUMBER(SEARCH("Zone 2",IFERROR(LEFT($AS23,FIND("(",$AS23)-1),$AS23))),"Gc","None required"))),"—"))</f>
        <v/>
      </c>
      <c r="AV23" s="74" t="str">
        <f aca="false">IF($C23="","",IFERROR(IF($AU23="None required","—",$AB23&amp;" "&amp;INDEX(Tables!$B$31:$B$37,MATCH($AA23-0.001,Tables!$A$31:$A$37,1))),"—"))</f>
        <v/>
      </c>
      <c r="AW23" s="79" t="str">
        <f aca="false">IF($C23="","",TRIM(IF(IF(ISNUMBER($Z23),$H23&lt;$Z23-5,FALSE()),"Handled &gt;5°C below flash point — may not need zoning (unless mist/spray). ","")&amp;IF(IF(AND($D23="Pool evaporation",ISNUMBER($Y23)),$H23&gt;=$Y23,FALSE()),"Liquid at/above boiling point — pool equation not valid, treat as gas release. ","")&amp;IF(IF(AND($D23="Liquid jet",$M23="",ISNUMBER($Y23)),$H23&lt;$Y23,FALSE()),"Non-flashing liquid: vapour rate set to 0 — model the resulting pool on its own row. ","")&amp;IF(AND($D23="Gas/vapour jet",NOT(ISNUMBER($W23))),"No γ in library for this substance. ","")&amp;IF(IF(ISNUMBER($AC23),$AC23&gt;1.2,FALSE()),"Heavier than air — extend zone at low level / into pits and drains. ","")&amp;IF($AQ23="Low","Vz ≥ V0: ventilation cannot control the release — whole room affected. ","")&amp;IF(AND($F23="Indoor",OR($Q23="",$R23="")),"Indoor: enter room volume and air changes. ","")))</f>
        <v/>
      </c>
    </row>
    <row r="24" customFormat="false" ht="15" hidden="false" customHeight="false" outlineLevel="0" collapsed="false">
      <c r="A24" s="56"/>
      <c r="B24" s="57"/>
      <c r="C24" s="56"/>
      <c r="D24" s="56"/>
      <c r="E24" s="56"/>
      <c r="F24" s="56"/>
      <c r="G24" s="58"/>
      <c r="H24" s="59"/>
      <c r="I24" s="59"/>
      <c r="J24" s="60"/>
      <c r="K24" s="58"/>
      <c r="L24" s="58"/>
      <c r="M24" s="58"/>
      <c r="N24" s="58"/>
      <c r="O24" s="58"/>
      <c r="P24" s="58"/>
      <c r="Q24" s="61"/>
      <c r="R24" s="59"/>
      <c r="S24" s="59"/>
      <c r="T24" s="56"/>
      <c r="U24" s="62" t="str">
        <f aca="false">IF($C24="","",IFERROR(IF(INDEX(Substances!$C$2:$C$60,MATCH($C24,Substances!$A$2:$A$60,0))="","",INDEX(Substances!$C$2:$C$60,MATCH($C24,Substances!$A$2:$A$60,0))),"—"))</f>
        <v/>
      </c>
      <c r="V24" s="63" t="str">
        <f aca="false">IF($C24="","",IFERROR(IF(INDEX(Substances!$D$2:$D$60,MATCH($C24,Substances!$A$2:$A$60,0))="","",INDEX(Substances!$D$2:$D$60,MATCH($C24,Substances!$A$2:$A$60,0))),"—"))</f>
        <v/>
      </c>
      <c r="W24" s="62" t="str">
        <f aca="false">IF($C24="","",IFERROR(IF(INDEX(Substances!$F$2:$F$60,MATCH($C24,Substances!$A$2:$A$60,0))="","",INDEX(Substances!$F$2:$F$60,MATCH($C24,Substances!$A$2:$A$60,0))),"—"))</f>
        <v/>
      </c>
      <c r="X24" s="64" t="str">
        <f aca="false">IF($C24="","",IFERROR(IF(INDEX(Substances!$G$2:$G$60,MATCH($C24,Substances!$A$2:$A$60,0))="","",INDEX(Substances!$G$2:$G$60,MATCH($C24,Substances!$A$2:$A$60,0))),"—"))</f>
        <v/>
      </c>
      <c r="Y24" s="63" t="str">
        <f aca="false">IF($C24="","",IFERROR(IF(INDEX(Substances!$H$2:$H$60,MATCH($C24,Substances!$A$2:$A$60,0))="","",INDEX(Substances!$H$2:$H$60,MATCH($C24,Substances!$A$2:$A$60,0))),"—"))</f>
        <v/>
      </c>
      <c r="Z24" s="64" t="str">
        <f aca="false">IF($C24="","",IFERROR(IF(INDEX(Substances!$I$2:$I$60,MATCH($C24,Substances!$A$2:$A$60,0))="","",INDEX(Substances!$I$2:$I$60,MATCH($C24,Substances!$A$2:$A$60,0))),"—"))</f>
        <v/>
      </c>
      <c r="AA24" s="64" t="str">
        <f aca="false">IF($C24="","",IFERROR(IF(INDEX(Substances!$J$2:$J$60,MATCH($C24,Substances!$A$2:$A$60,0))="","",INDEX(Substances!$J$2:$J$60,MATCH($C24,Substances!$A$2:$A$60,0))),"—"))</f>
        <v/>
      </c>
      <c r="AB24" s="65" t="str">
        <f aca="false">IF($C24="","",IFERROR(IF(INDEX(Substances!$K$2:$K$60,MATCH($C24,Substances!$A$2:$A$60,0))="","",INDEX(Substances!$K$2:$K$60,MATCH($C24,Substances!$A$2:$A$60,0))),"—"))</f>
        <v/>
      </c>
      <c r="AC24" s="62" t="str">
        <f aca="false">IF($C24="","",IFERROR($U24/28.96,"—"))</f>
        <v/>
      </c>
      <c r="AD24" s="66" t="str">
        <f aca="false">IF($C24="","",IFERROR(N($G24)*100000+Tables!$B$4,"—"))</f>
        <v/>
      </c>
      <c r="AE24" s="67" t="str">
        <f aca="false">IF($C24="","",IFERROR($H24+273.15,"—"))</f>
        <v/>
      </c>
      <c r="AF24" s="67" t="str">
        <f aca="false">IF($C24="","",IFERROR($I24+273.15,"—"))</f>
        <v/>
      </c>
      <c r="AG24" s="66" t="str">
        <f aca="false">IF($C24="","",IFERROR(IF($D24="Gas/vapour jet",Tables!$B$4*(($W24+1)/2)^($W24/($W24-1)),"n/a"),"—"))</f>
        <v/>
      </c>
      <c r="AH24" s="68" t="str">
        <f aca="false">IF($C24="","",IFERROR(IF($D24="Gas/vapour jet",IF($AD24&gt;$AG24,"Choked","Subsonic"),"n/a"),"—"))</f>
        <v/>
      </c>
      <c r="AI24" s="69" t="str">
        <f aca="false">IF($C24="","",IFERROR(IF($D24="Gas/vapour jet","n/a",MIN(101.325,IF($P24&lt;&gt;"",$P24,IF(N(INDEX(Substances!$L$2:$L$60,MATCH($C24,Substances!$A$2:$A$60,0)))&lt;&gt;0,0.133322*10^(INDEX(Substances!$L$2:$L$60,MATCH($C24,Substances!$A$2:$A$60,0))-INDEX(Substances!$M$2:$M$60,MATCH($C24,Substances!$A$2:$A$60,0))/(INDEX(Substances!$N$2:$N$60,MATCH($C24,Substances!$A$2:$A$60,0))+$H24)),101.325*EXP(10.58*(1-($Y24+273.15)/$AE24)))))),"—"))</f>
        <v/>
      </c>
      <c r="AJ24" s="70" t="str">
        <f aca="false">IF($C24="","",IFERROR(IF($D24="Liquid jet",$K24*$J24*0.000001*SQRT(2*$X24*N($G24)*100000),"n/a"),"—"))</f>
        <v/>
      </c>
      <c r="AK24" s="71" t="str">
        <f aca="false">IF($C24="","",IFERROR(IF($D24="Gas/vapour jet",IF($AH24="Choked",$K24*$J24*0.000001*$AD24*SQRT($W24*$U24/($L24*Tables!$B$5*$AE24)*(2/($W24+1))^(($W24+1)/($W24-1))),$K24*$J24*0.000001*$AD24*SQRT($U24/($L24*Tables!$B$5*$AE24)*(2*$W24/($W24-1))*(1-(Tables!$B$4/$AD24)^(($W24-1)/$W24))*(Tables!$B$4/$AD24)^(2/$W24))),IF($D24="Liquid jet",$AJ24*IF($M24&lt;&gt;"",$M24,IF($H24&gt;=$Y24,1,0)),6.55*$O24^0.78*$N24*$AI24*$U24^0.667/(Tables!$B$5*$AE24))),"—"))</f>
        <v/>
      </c>
      <c r="AL24" s="72" t="str">
        <f aca="false">IF($C24="","",IFERROR(Tables!$B$10*$U24*$V24,"—"))</f>
        <v/>
      </c>
      <c r="AM24" s="69" t="str">
        <f aca="false">IF($C24="","",IFERROR(INDEX(Tables!$B$15:$B$17,MATCH($E24,Tables!$A$15:$A$17,0)),"—"))</f>
        <v/>
      </c>
      <c r="AN24" s="70" t="str">
        <f aca="false">IF($C24="","",IFERROR($AK24/($AM24*$AL24)*$AF24/Tables!$B$9,"—"))</f>
        <v/>
      </c>
      <c r="AO24" s="72" t="str">
        <f aca="false">IF($C24="","",IFERROR(IF($F24="Outdoor",Tables!$B$8,$R24/3600),"—"))</f>
        <v/>
      </c>
      <c r="AP24" s="73" t="str">
        <f aca="false">IF($C24="","",IFERROR($S24*$AN24/$AO24,"—"))</f>
        <v/>
      </c>
      <c r="AQ24" s="74" t="str">
        <f aca="false">IF($C24="","",IFERROR(IF($AP24&lt;Tables!$B$7,"High",IF($F24="Outdoor","Medium",IF($AP24&lt;$Q24,"Medium","Low"))),"—"))</f>
        <v/>
      </c>
      <c r="AR24" s="75" t="str">
        <f aca="false">IF($C24="","",IFERROR(-$S24/$AO24*LN($V24*$AM24/Tables!$B$6)/60,"—"))</f>
        <v/>
      </c>
      <c r="AS24" s="76" t="str">
        <f aca="false">IF($C24="","",IFERROR(INDEX(Tables!$B$22:$J$24,MATCH($E24,Tables!$A$22:$A$24,0),MATCH($AQ24&amp;"-"&amp;$T24,Tables!$B$21:$J$21,0)),"—"))</f>
        <v/>
      </c>
      <c r="AT24" s="77" t="str">
        <f aca="false">IF($C24="","",IFERROR((3*$AP24/(2*PI()))^(1/3),"—"))</f>
        <v/>
      </c>
      <c r="AU24" s="78" t="str">
        <f aca="false">IF($C24="","",IFERROR(IF(ISNUMBER(SEARCH("Zone 0",IFERROR(LEFT($AS24,FIND("(",$AS24)-1),$AS24))),"Ga",IF(ISNUMBER(SEARCH("Zone 1",IFERROR(LEFT($AS24,FIND("(",$AS24)-1),$AS24))),"Gb",IF(ISNUMBER(SEARCH("Zone 2",IFERROR(LEFT($AS24,FIND("(",$AS24)-1),$AS24))),"Gc","None required"))),"—"))</f>
        <v/>
      </c>
      <c r="AV24" s="74" t="str">
        <f aca="false">IF($C24="","",IFERROR(IF($AU24="None required","—",$AB24&amp;" "&amp;INDEX(Tables!$B$31:$B$37,MATCH($AA24-0.001,Tables!$A$31:$A$37,1))),"—"))</f>
        <v/>
      </c>
      <c r="AW24" s="79" t="str">
        <f aca="false">IF($C24="","",TRIM(IF(IF(ISNUMBER($Z24),$H24&lt;$Z24-5,FALSE()),"Handled &gt;5°C below flash point — may not need zoning (unless mist/spray). ","")&amp;IF(IF(AND($D24="Pool evaporation",ISNUMBER($Y24)),$H24&gt;=$Y24,FALSE()),"Liquid at/above boiling point — pool equation not valid, treat as gas release. ","")&amp;IF(IF(AND($D24="Liquid jet",$M24="",ISNUMBER($Y24)),$H24&lt;$Y24,FALSE()),"Non-flashing liquid: vapour rate set to 0 — model the resulting pool on its own row. ","")&amp;IF(AND($D24="Gas/vapour jet",NOT(ISNUMBER($W24))),"No γ in library for this substance. ","")&amp;IF(IF(ISNUMBER($AC24),$AC24&gt;1.2,FALSE()),"Heavier than air — extend zone at low level / into pits and drains. ","")&amp;IF($AQ24="Low","Vz ≥ V0: ventilation cannot control the release — whole room affected. ","")&amp;IF(AND($F24="Indoor",OR($Q24="",$R24="")),"Indoor: enter room volume and air changes. ","")))</f>
        <v/>
      </c>
    </row>
    <row r="25" customFormat="false" ht="15" hidden="false" customHeight="false" outlineLevel="0" collapsed="false">
      <c r="A25" s="56"/>
      <c r="B25" s="57"/>
      <c r="C25" s="56"/>
      <c r="D25" s="56"/>
      <c r="E25" s="56"/>
      <c r="F25" s="56"/>
      <c r="G25" s="58"/>
      <c r="H25" s="59"/>
      <c r="I25" s="59"/>
      <c r="J25" s="60"/>
      <c r="K25" s="58"/>
      <c r="L25" s="58"/>
      <c r="M25" s="58"/>
      <c r="N25" s="58"/>
      <c r="O25" s="58"/>
      <c r="P25" s="58"/>
      <c r="Q25" s="61"/>
      <c r="R25" s="59"/>
      <c r="S25" s="59"/>
      <c r="T25" s="56"/>
      <c r="U25" s="62" t="str">
        <f aca="false">IF($C25="","",IFERROR(IF(INDEX(Substances!$C$2:$C$60,MATCH($C25,Substances!$A$2:$A$60,0))="","",INDEX(Substances!$C$2:$C$60,MATCH($C25,Substances!$A$2:$A$60,0))),"—"))</f>
        <v/>
      </c>
      <c r="V25" s="63" t="str">
        <f aca="false">IF($C25="","",IFERROR(IF(INDEX(Substances!$D$2:$D$60,MATCH($C25,Substances!$A$2:$A$60,0))="","",INDEX(Substances!$D$2:$D$60,MATCH($C25,Substances!$A$2:$A$60,0))),"—"))</f>
        <v/>
      </c>
      <c r="W25" s="62" t="str">
        <f aca="false">IF($C25="","",IFERROR(IF(INDEX(Substances!$F$2:$F$60,MATCH($C25,Substances!$A$2:$A$60,0))="","",INDEX(Substances!$F$2:$F$60,MATCH($C25,Substances!$A$2:$A$60,0))),"—"))</f>
        <v/>
      </c>
      <c r="X25" s="64" t="str">
        <f aca="false">IF($C25="","",IFERROR(IF(INDEX(Substances!$G$2:$G$60,MATCH($C25,Substances!$A$2:$A$60,0))="","",INDEX(Substances!$G$2:$G$60,MATCH($C25,Substances!$A$2:$A$60,0))),"—"))</f>
        <v/>
      </c>
      <c r="Y25" s="63" t="str">
        <f aca="false">IF($C25="","",IFERROR(IF(INDEX(Substances!$H$2:$H$60,MATCH($C25,Substances!$A$2:$A$60,0))="","",INDEX(Substances!$H$2:$H$60,MATCH($C25,Substances!$A$2:$A$60,0))),"—"))</f>
        <v/>
      </c>
      <c r="Z25" s="64" t="str">
        <f aca="false">IF($C25="","",IFERROR(IF(INDEX(Substances!$I$2:$I$60,MATCH($C25,Substances!$A$2:$A$60,0))="","",INDEX(Substances!$I$2:$I$60,MATCH($C25,Substances!$A$2:$A$60,0))),"—"))</f>
        <v/>
      </c>
      <c r="AA25" s="64" t="str">
        <f aca="false">IF($C25="","",IFERROR(IF(INDEX(Substances!$J$2:$J$60,MATCH($C25,Substances!$A$2:$A$60,0))="","",INDEX(Substances!$J$2:$J$60,MATCH($C25,Substances!$A$2:$A$60,0))),"—"))</f>
        <v/>
      </c>
      <c r="AB25" s="65" t="str">
        <f aca="false">IF($C25="","",IFERROR(IF(INDEX(Substances!$K$2:$K$60,MATCH($C25,Substances!$A$2:$A$60,0))="","",INDEX(Substances!$K$2:$K$60,MATCH($C25,Substances!$A$2:$A$60,0))),"—"))</f>
        <v/>
      </c>
      <c r="AC25" s="62" t="str">
        <f aca="false">IF($C25="","",IFERROR($U25/28.96,"—"))</f>
        <v/>
      </c>
      <c r="AD25" s="66" t="str">
        <f aca="false">IF($C25="","",IFERROR(N($G25)*100000+Tables!$B$4,"—"))</f>
        <v/>
      </c>
      <c r="AE25" s="67" t="str">
        <f aca="false">IF($C25="","",IFERROR($H25+273.15,"—"))</f>
        <v/>
      </c>
      <c r="AF25" s="67" t="str">
        <f aca="false">IF($C25="","",IFERROR($I25+273.15,"—"))</f>
        <v/>
      </c>
      <c r="AG25" s="66" t="str">
        <f aca="false">IF($C25="","",IFERROR(IF($D25="Gas/vapour jet",Tables!$B$4*(($W25+1)/2)^($W25/($W25-1)),"n/a"),"—"))</f>
        <v/>
      </c>
      <c r="AH25" s="68" t="str">
        <f aca="false">IF($C25="","",IFERROR(IF($D25="Gas/vapour jet",IF($AD25&gt;$AG25,"Choked","Subsonic"),"n/a"),"—"))</f>
        <v/>
      </c>
      <c r="AI25" s="69" t="str">
        <f aca="false">IF($C25="","",IFERROR(IF($D25="Gas/vapour jet","n/a",MIN(101.325,IF($P25&lt;&gt;"",$P25,IF(N(INDEX(Substances!$L$2:$L$60,MATCH($C25,Substances!$A$2:$A$60,0)))&lt;&gt;0,0.133322*10^(INDEX(Substances!$L$2:$L$60,MATCH($C25,Substances!$A$2:$A$60,0))-INDEX(Substances!$M$2:$M$60,MATCH($C25,Substances!$A$2:$A$60,0))/(INDEX(Substances!$N$2:$N$60,MATCH($C25,Substances!$A$2:$A$60,0))+$H25)),101.325*EXP(10.58*(1-($Y25+273.15)/$AE25)))))),"—"))</f>
        <v/>
      </c>
      <c r="AJ25" s="70" t="str">
        <f aca="false">IF($C25="","",IFERROR(IF($D25="Liquid jet",$K25*$J25*0.000001*SQRT(2*$X25*N($G25)*100000),"n/a"),"—"))</f>
        <v/>
      </c>
      <c r="AK25" s="71" t="str">
        <f aca="false">IF($C25="","",IFERROR(IF($D25="Gas/vapour jet",IF($AH25="Choked",$K25*$J25*0.000001*$AD25*SQRT($W25*$U25/($L25*Tables!$B$5*$AE25)*(2/($W25+1))^(($W25+1)/($W25-1))),$K25*$J25*0.000001*$AD25*SQRT($U25/($L25*Tables!$B$5*$AE25)*(2*$W25/($W25-1))*(1-(Tables!$B$4/$AD25)^(($W25-1)/$W25))*(Tables!$B$4/$AD25)^(2/$W25))),IF($D25="Liquid jet",$AJ25*IF($M25&lt;&gt;"",$M25,IF($H25&gt;=$Y25,1,0)),6.55*$O25^0.78*$N25*$AI25*$U25^0.667/(Tables!$B$5*$AE25))),"—"))</f>
        <v/>
      </c>
      <c r="AL25" s="72" t="str">
        <f aca="false">IF($C25="","",IFERROR(Tables!$B$10*$U25*$V25,"—"))</f>
        <v/>
      </c>
      <c r="AM25" s="69" t="str">
        <f aca="false">IF($C25="","",IFERROR(INDEX(Tables!$B$15:$B$17,MATCH($E25,Tables!$A$15:$A$17,0)),"—"))</f>
        <v/>
      </c>
      <c r="AN25" s="70" t="str">
        <f aca="false">IF($C25="","",IFERROR($AK25/($AM25*$AL25)*$AF25/Tables!$B$9,"—"))</f>
        <v/>
      </c>
      <c r="AO25" s="72" t="str">
        <f aca="false">IF($C25="","",IFERROR(IF($F25="Outdoor",Tables!$B$8,$R25/3600),"—"))</f>
        <v/>
      </c>
      <c r="AP25" s="73" t="str">
        <f aca="false">IF($C25="","",IFERROR($S25*$AN25/$AO25,"—"))</f>
        <v/>
      </c>
      <c r="AQ25" s="74" t="str">
        <f aca="false">IF($C25="","",IFERROR(IF($AP25&lt;Tables!$B$7,"High",IF($F25="Outdoor","Medium",IF($AP25&lt;$Q25,"Medium","Low"))),"—"))</f>
        <v/>
      </c>
      <c r="AR25" s="75" t="str">
        <f aca="false">IF($C25="","",IFERROR(-$S25/$AO25*LN($V25*$AM25/Tables!$B$6)/60,"—"))</f>
        <v/>
      </c>
      <c r="AS25" s="76" t="str">
        <f aca="false">IF($C25="","",IFERROR(INDEX(Tables!$B$22:$J$24,MATCH($E25,Tables!$A$22:$A$24,0),MATCH($AQ25&amp;"-"&amp;$T25,Tables!$B$21:$J$21,0)),"—"))</f>
        <v/>
      </c>
      <c r="AT25" s="77" t="str">
        <f aca="false">IF($C25="","",IFERROR((3*$AP25/(2*PI()))^(1/3),"—"))</f>
        <v/>
      </c>
      <c r="AU25" s="78" t="str">
        <f aca="false">IF($C25="","",IFERROR(IF(ISNUMBER(SEARCH("Zone 0",IFERROR(LEFT($AS25,FIND("(",$AS25)-1),$AS25))),"Ga",IF(ISNUMBER(SEARCH("Zone 1",IFERROR(LEFT($AS25,FIND("(",$AS25)-1),$AS25))),"Gb",IF(ISNUMBER(SEARCH("Zone 2",IFERROR(LEFT($AS25,FIND("(",$AS25)-1),$AS25))),"Gc","None required"))),"—"))</f>
        <v/>
      </c>
      <c r="AV25" s="74" t="str">
        <f aca="false">IF($C25="","",IFERROR(IF($AU25="None required","—",$AB25&amp;" "&amp;INDEX(Tables!$B$31:$B$37,MATCH($AA25-0.001,Tables!$A$31:$A$37,1))),"—"))</f>
        <v/>
      </c>
      <c r="AW25" s="79" t="str">
        <f aca="false">IF($C25="","",TRIM(IF(IF(ISNUMBER($Z25),$H25&lt;$Z25-5,FALSE()),"Handled &gt;5°C below flash point — may not need zoning (unless mist/spray). ","")&amp;IF(IF(AND($D25="Pool evaporation",ISNUMBER($Y25)),$H25&gt;=$Y25,FALSE()),"Liquid at/above boiling point — pool equation not valid, treat as gas release. ","")&amp;IF(IF(AND($D25="Liquid jet",$M25="",ISNUMBER($Y25)),$H25&lt;$Y25,FALSE()),"Non-flashing liquid: vapour rate set to 0 — model the resulting pool on its own row. ","")&amp;IF(AND($D25="Gas/vapour jet",NOT(ISNUMBER($W25))),"No γ in library for this substance. ","")&amp;IF(IF(ISNUMBER($AC25),$AC25&gt;1.2,FALSE()),"Heavier than air — extend zone at low level / into pits and drains. ","")&amp;IF($AQ25="Low","Vz ≥ V0: ventilation cannot control the release — whole room affected. ","")&amp;IF(AND($F25="Indoor",OR($Q25="",$R25="")),"Indoor: enter room volume and air changes. ","")))</f>
        <v/>
      </c>
    </row>
    <row r="26" customFormat="false" ht="15" hidden="false" customHeight="false" outlineLevel="0" collapsed="false">
      <c r="A26" s="56"/>
      <c r="B26" s="57"/>
      <c r="C26" s="56"/>
      <c r="D26" s="56"/>
      <c r="E26" s="56"/>
      <c r="F26" s="56"/>
      <c r="G26" s="58"/>
      <c r="H26" s="59"/>
      <c r="I26" s="59"/>
      <c r="J26" s="60"/>
      <c r="K26" s="58"/>
      <c r="L26" s="58"/>
      <c r="M26" s="58"/>
      <c r="N26" s="58"/>
      <c r="O26" s="58"/>
      <c r="P26" s="58"/>
      <c r="Q26" s="61"/>
      <c r="R26" s="59"/>
      <c r="S26" s="59"/>
      <c r="T26" s="56"/>
      <c r="U26" s="62" t="str">
        <f aca="false">IF($C26="","",IFERROR(IF(INDEX(Substances!$C$2:$C$60,MATCH($C26,Substances!$A$2:$A$60,0))="","",INDEX(Substances!$C$2:$C$60,MATCH($C26,Substances!$A$2:$A$60,0))),"—"))</f>
        <v/>
      </c>
      <c r="V26" s="63" t="str">
        <f aca="false">IF($C26="","",IFERROR(IF(INDEX(Substances!$D$2:$D$60,MATCH($C26,Substances!$A$2:$A$60,0))="","",INDEX(Substances!$D$2:$D$60,MATCH($C26,Substances!$A$2:$A$60,0))),"—"))</f>
        <v/>
      </c>
      <c r="W26" s="62" t="str">
        <f aca="false">IF($C26="","",IFERROR(IF(INDEX(Substances!$F$2:$F$60,MATCH($C26,Substances!$A$2:$A$60,0))="","",INDEX(Substances!$F$2:$F$60,MATCH($C26,Substances!$A$2:$A$60,0))),"—"))</f>
        <v/>
      </c>
      <c r="X26" s="64" t="str">
        <f aca="false">IF($C26="","",IFERROR(IF(INDEX(Substances!$G$2:$G$60,MATCH($C26,Substances!$A$2:$A$60,0))="","",INDEX(Substances!$G$2:$G$60,MATCH($C26,Substances!$A$2:$A$60,0))),"—"))</f>
        <v/>
      </c>
      <c r="Y26" s="63" t="str">
        <f aca="false">IF($C26="","",IFERROR(IF(INDEX(Substances!$H$2:$H$60,MATCH($C26,Substances!$A$2:$A$60,0))="","",INDEX(Substances!$H$2:$H$60,MATCH($C26,Substances!$A$2:$A$60,0))),"—"))</f>
        <v/>
      </c>
      <c r="Z26" s="64" t="str">
        <f aca="false">IF($C26="","",IFERROR(IF(INDEX(Substances!$I$2:$I$60,MATCH($C26,Substances!$A$2:$A$60,0))="","",INDEX(Substances!$I$2:$I$60,MATCH($C26,Substances!$A$2:$A$60,0))),"—"))</f>
        <v/>
      </c>
      <c r="AA26" s="64" t="str">
        <f aca="false">IF($C26="","",IFERROR(IF(INDEX(Substances!$J$2:$J$60,MATCH($C26,Substances!$A$2:$A$60,0))="","",INDEX(Substances!$J$2:$J$60,MATCH($C26,Substances!$A$2:$A$60,0))),"—"))</f>
        <v/>
      </c>
      <c r="AB26" s="65" t="str">
        <f aca="false">IF($C26="","",IFERROR(IF(INDEX(Substances!$K$2:$K$60,MATCH($C26,Substances!$A$2:$A$60,0))="","",INDEX(Substances!$K$2:$K$60,MATCH($C26,Substances!$A$2:$A$60,0))),"—"))</f>
        <v/>
      </c>
      <c r="AC26" s="62" t="str">
        <f aca="false">IF($C26="","",IFERROR($U26/28.96,"—"))</f>
        <v/>
      </c>
      <c r="AD26" s="66" t="str">
        <f aca="false">IF($C26="","",IFERROR(N($G26)*100000+Tables!$B$4,"—"))</f>
        <v/>
      </c>
      <c r="AE26" s="67" t="str">
        <f aca="false">IF($C26="","",IFERROR($H26+273.15,"—"))</f>
        <v/>
      </c>
      <c r="AF26" s="67" t="str">
        <f aca="false">IF($C26="","",IFERROR($I26+273.15,"—"))</f>
        <v/>
      </c>
      <c r="AG26" s="66" t="str">
        <f aca="false">IF($C26="","",IFERROR(IF($D26="Gas/vapour jet",Tables!$B$4*(($W26+1)/2)^($W26/($W26-1)),"n/a"),"—"))</f>
        <v/>
      </c>
      <c r="AH26" s="68" t="str">
        <f aca="false">IF($C26="","",IFERROR(IF($D26="Gas/vapour jet",IF($AD26&gt;$AG26,"Choked","Subsonic"),"n/a"),"—"))</f>
        <v/>
      </c>
      <c r="AI26" s="69" t="str">
        <f aca="false">IF($C26="","",IFERROR(IF($D26="Gas/vapour jet","n/a",MIN(101.325,IF($P26&lt;&gt;"",$P26,IF(N(INDEX(Substances!$L$2:$L$60,MATCH($C26,Substances!$A$2:$A$60,0)))&lt;&gt;0,0.133322*10^(INDEX(Substances!$L$2:$L$60,MATCH($C26,Substances!$A$2:$A$60,0))-INDEX(Substances!$M$2:$M$60,MATCH($C26,Substances!$A$2:$A$60,0))/(INDEX(Substances!$N$2:$N$60,MATCH($C26,Substances!$A$2:$A$60,0))+$H26)),101.325*EXP(10.58*(1-($Y26+273.15)/$AE26)))))),"—"))</f>
        <v/>
      </c>
      <c r="AJ26" s="70" t="str">
        <f aca="false">IF($C26="","",IFERROR(IF($D26="Liquid jet",$K26*$J26*0.000001*SQRT(2*$X26*N($G26)*100000),"n/a"),"—"))</f>
        <v/>
      </c>
      <c r="AK26" s="71" t="str">
        <f aca="false">IF($C26="","",IFERROR(IF($D26="Gas/vapour jet",IF($AH26="Choked",$K26*$J26*0.000001*$AD26*SQRT($W26*$U26/($L26*Tables!$B$5*$AE26)*(2/($W26+1))^(($W26+1)/($W26-1))),$K26*$J26*0.000001*$AD26*SQRT($U26/($L26*Tables!$B$5*$AE26)*(2*$W26/($W26-1))*(1-(Tables!$B$4/$AD26)^(($W26-1)/$W26))*(Tables!$B$4/$AD26)^(2/$W26))),IF($D26="Liquid jet",$AJ26*IF($M26&lt;&gt;"",$M26,IF($H26&gt;=$Y26,1,0)),6.55*$O26^0.78*$N26*$AI26*$U26^0.667/(Tables!$B$5*$AE26))),"—"))</f>
        <v/>
      </c>
      <c r="AL26" s="72" t="str">
        <f aca="false">IF($C26="","",IFERROR(Tables!$B$10*$U26*$V26,"—"))</f>
        <v/>
      </c>
      <c r="AM26" s="69" t="str">
        <f aca="false">IF($C26="","",IFERROR(INDEX(Tables!$B$15:$B$17,MATCH($E26,Tables!$A$15:$A$17,0)),"—"))</f>
        <v/>
      </c>
      <c r="AN26" s="70" t="str">
        <f aca="false">IF($C26="","",IFERROR($AK26/($AM26*$AL26)*$AF26/Tables!$B$9,"—"))</f>
        <v/>
      </c>
      <c r="AO26" s="72" t="str">
        <f aca="false">IF($C26="","",IFERROR(IF($F26="Outdoor",Tables!$B$8,$R26/3600),"—"))</f>
        <v/>
      </c>
      <c r="AP26" s="73" t="str">
        <f aca="false">IF($C26="","",IFERROR($S26*$AN26/$AO26,"—"))</f>
        <v/>
      </c>
      <c r="AQ26" s="74" t="str">
        <f aca="false">IF($C26="","",IFERROR(IF($AP26&lt;Tables!$B$7,"High",IF($F26="Outdoor","Medium",IF($AP26&lt;$Q26,"Medium","Low"))),"—"))</f>
        <v/>
      </c>
      <c r="AR26" s="75" t="str">
        <f aca="false">IF($C26="","",IFERROR(-$S26/$AO26*LN($V26*$AM26/Tables!$B$6)/60,"—"))</f>
        <v/>
      </c>
      <c r="AS26" s="76" t="str">
        <f aca="false">IF($C26="","",IFERROR(INDEX(Tables!$B$22:$J$24,MATCH($E26,Tables!$A$22:$A$24,0),MATCH($AQ26&amp;"-"&amp;$T26,Tables!$B$21:$J$21,0)),"—"))</f>
        <v/>
      </c>
      <c r="AT26" s="77" t="str">
        <f aca="false">IF($C26="","",IFERROR((3*$AP26/(2*PI()))^(1/3),"—"))</f>
        <v/>
      </c>
      <c r="AU26" s="78" t="str">
        <f aca="false">IF($C26="","",IFERROR(IF(ISNUMBER(SEARCH("Zone 0",IFERROR(LEFT($AS26,FIND("(",$AS26)-1),$AS26))),"Ga",IF(ISNUMBER(SEARCH("Zone 1",IFERROR(LEFT($AS26,FIND("(",$AS26)-1),$AS26))),"Gb",IF(ISNUMBER(SEARCH("Zone 2",IFERROR(LEFT($AS26,FIND("(",$AS26)-1),$AS26))),"Gc","None required"))),"—"))</f>
        <v/>
      </c>
      <c r="AV26" s="74" t="str">
        <f aca="false">IF($C26="","",IFERROR(IF($AU26="None required","—",$AB26&amp;" "&amp;INDEX(Tables!$B$31:$B$37,MATCH($AA26-0.001,Tables!$A$31:$A$37,1))),"—"))</f>
        <v/>
      </c>
      <c r="AW26" s="79" t="str">
        <f aca="false">IF($C26="","",TRIM(IF(IF(ISNUMBER($Z26),$H26&lt;$Z26-5,FALSE()),"Handled &gt;5°C below flash point — may not need zoning (unless mist/spray). ","")&amp;IF(IF(AND($D26="Pool evaporation",ISNUMBER($Y26)),$H26&gt;=$Y26,FALSE()),"Liquid at/above boiling point — pool equation not valid, treat as gas release. ","")&amp;IF(IF(AND($D26="Liquid jet",$M26="",ISNUMBER($Y26)),$H26&lt;$Y26,FALSE()),"Non-flashing liquid: vapour rate set to 0 — model the resulting pool on its own row. ","")&amp;IF(AND($D26="Gas/vapour jet",NOT(ISNUMBER($W26))),"No γ in library for this substance. ","")&amp;IF(IF(ISNUMBER($AC26),$AC26&gt;1.2,FALSE()),"Heavier than air — extend zone at low level / into pits and drains. ","")&amp;IF($AQ26="Low","Vz ≥ V0: ventilation cannot control the release — whole room affected. ","")&amp;IF(AND($F26="Indoor",OR($Q26="",$R26="")),"Indoor: enter room volume and air changes. ","")))</f>
        <v/>
      </c>
    </row>
    <row r="27" customFormat="false" ht="15" hidden="false" customHeight="false" outlineLevel="0" collapsed="false">
      <c r="A27" s="56"/>
      <c r="B27" s="57"/>
      <c r="C27" s="56"/>
      <c r="D27" s="56"/>
      <c r="E27" s="56"/>
      <c r="F27" s="56"/>
      <c r="G27" s="58"/>
      <c r="H27" s="59"/>
      <c r="I27" s="59"/>
      <c r="J27" s="60"/>
      <c r="K27" s="58"/>
      <c r="L27" s="58"/>
      <c r="M27" s="58"/>
      <c r="N27" s="58"/>
      <c r="O27" s="58"/>
      <c r="P27" s="58"/>
      <c r="Q27" s="61"/>
      <c r="R27" s="59"/>
      <c r="S27" s="59"/>
      <c r="T27" s="56"/>
      <c r="U27" s="62" t="str">
        <f aca="false">IF($C27="","",IFERROR(IF(INDEX(Substances!$C$2:$C$60,MATCH($C27,Substances!$A$2:$A$60,0))="","",INDEX(Substances!$C$2:$C$60,MATCH($C27,Substances!$A$2:$A$60,0))),"—"))</f>
        <v/>
      </c>
      <c r="V27" s="63" t="str">
        <f aca="false">IF($C27="","",IFERROR(IF(INDEX(Substances!$D$2:$D$60,MATCH($C27,Substances!$A$2:$A$60,0))="","",INDEX(Substances!$D$2:$D$60,MATCH($C27,Substances!$A$2:$A$60,0))),"—"))</f>
        <v/>
      </c>
      <c r="W27" s="62" t="str">
        <f aca="false">IF($C27="","",IFERROR(IF(INDEX(Substances!$F$2:$F$60,MATCH($C27,Substances!$A$2:$A$60,0))="","",INDEX(Substances!$F$2:$F$60,MATCH($C27,Substances!$A$2:$A$60,0))),"—"))</f>
        <v/>
      </c>
      <c r="X27" s="64" t="str">
        <f aca="false">IF($C27="","",IFERROR(IF(INDEX(Substances!$G$2:$G$60,MATCH($C27,Substances!$A$2:$A$60,0))="","",INDEX(Substances!$G$2:$G$60,MATCH($C27,Substances!$A$2:$A$60,0))),"—"))</f>
        <v/>
      </c>
      <c r="Y27" s="63" t="str">
        <f aca="false">IF($C27="","",IFERROR(IF(INDEX(Substances!$H$2:$H$60,MATCH($C27,Substances!$A$2:$A$60,0))="","",INDEX(Substances!$H$2:$H$60,MATCH($C27,Substances!$A$2:$A$60,0))),"—"))</f>
        <v/>
      </c>
      <c r="Z27" s="64" t="str">
        <f aca="false">IF($C27="","",IFERROR(IF(INDEX(Substances!$I$2:$I$60,MATCH($C27,Substances!$A$2:$A$60,0))="","",INDEX(Substances!$I$2:$I$60,MATCH($C27,Substances!$A$2:$A$60,0))),"—"))</f>
        <v/>
      </c>
      <c r="AA27" s="64" t="str">
        <f aca="false">IF($C27="","",IFERROR(IF(INDEX(Substances!$J$2:$J$60,MATCH($C27,Substances!$A$2:$A$60,0))="","",INDEX(Substances!$J$2:$J$60,MATCH($C27,Substances!$A$2:$A$60,0))),"—"))</f>
        <v/>
      </c>
      <c r="AB27" s="65" t="str">
        <f aca="false">IF($C27="","",IFERROR(IF(INDEX(Substances!$K$2:$K$60,MATCH($C27,Substances!$A$2:$A$60,0))="","",INDEX(Substances!$K$2:$K$60,MATCH($C27,Substances!$A$2:$A$60,0))),"—"))</f>
        <v/>
      </c>
      <c r="AC27" s="62" t="str">
        <f aca="false">IF($C27="","",IFERROR($U27/28.96,"—"))</f>
        <v/>
      </c>
      <c r="AD27" s="66" t="str">
        <f aca="false">IF($C27="","",IFERROR(N($G27)*100000+Tables!$B$4,"—"))</f>
        <v/>
      </c>
      <c r="AE27" s="67" t="str">
        <f aca="false">IF($C27="","",IFERROR($H27+273.15,"—"))</f>
        <v/>
      </c>
      <c r="AF27" s="67" t="str">
        <f aca="false">IF($C27="","",IFERROR($I27+273.15,"—"))</f>
        <v/>
      </c>
      <c r="AG27" s="66" t="str">
        <f aca="false">IF($C27="","",IFERROR(IF($D27="Gas/vapour jet",Tables!$B$4*(($W27+1)/2)^($W27/($W27-1)),"n/a"),"—"))</f>
        <v/>
      </c>
      <c r="AH27" s="68" t="str">
        <f aca="false">IF($C27="","",IFERROR(IF($D27="Gas/vapour jet",IF($AD27&gt;$AG27,"Choked","Subsonic"),"n/a"),"—"))</f>
        <v/>
      </c>
      <c r="AI27" s="69" t="str">
        <f aca="false">IF($C27="","",IFERROR(IF($D27="Gas/vapour jet","n/a",MIN(101.325,IF($P27&lt;&gt;"",$P27,IF(N(INDEX(Substances!$L$2:$L$60,MATCH($C27,Substances!$A$2:$A$60,0)))&lt;&gt;0,0.133322*10^(INDEX(Substances!$L$2:$L$60,MATCH($C27,Substances!$A$2:$A$60,0))-INDEX(Substances!$M$2:$M$60,MATCH($C27,Substances!$A$2:$A$60,0))/(INDEX(Substances!$N$2:$N$60,MATCH($C27,Substances!$A$2:$A$60,0))+$H27)),101.325*EXP(10.58*(1-($Y27+273.15)/$AE27)))))),"—"))</f>
        <v/>
      </c>
      <c r="AJ27" s="70" t="str">
        <f aca="false">IF($C27="","",IFERROR(IF($D27="Liquid jet",$K27*$J27*0.000001*SQRT(2*$X27*N($G27)*100000),"n/a"),"—"))</f>
        <v/>
      </c>
      <c r="AK27" s="71" t="str">
        <f aca="false">IF($C27="","",IFERROR(IF($D27="Gas/vapour jet",IF($AH27="Choked",$K27*$J27*0.000001*$AD27*SQRT($W27*$U27/($L27*Tables!$B$5*$AE27)*(2/($W27+1))^(($W27+1)/($W27-1))),$K27*$J27*0.000001*$AD27*SQRT($U27/($L27*Tables!$B$5*$AE27)*(2*$W27/($W27-1))*(1-(Tables!$B$4/$AD27)^(($W27-1)/$W27))*(Tables!$B$4/$AD27)^(2/$W27))),IF($D27="Liquid jet",$AJ27*IF($M27&lt;&gt;"",$M27,IF($H27&gt;=$Y27,1,0)),6.55*$O27^0.78*$N27*$AI27*$U27^0.667/(Tables!$B$5*$AE27))),"—"))</f>
        <v/>
      </c>
      <c r="AL27" s="72" t="str">
        <f aca="false">IF($C27="","",IFERROR(Tables!$B$10*$U27*$V27,"—"))</f>
        <v/>
      </c>
      <c r="AM27" s="69" t="str">
        <f aca="false">IF($C27="","",IFERROR(INDEX(Tables!$B$15:$B$17,MATCH($E27,Tables!$A$15:$A$17,0)),"—"))</f>
        <v/>
      </c>
      <c r="AN27" s="70" t="str">
        <f aca="false">IF($C27="","",IFERROR($AK27/($AM27*$AL27)*$AF27/Tables!$B$9,"—"))</f>
        <v/>
      </c>
      <c r="AO27" s="72" t="str">
        <f aca="false">IF($C27="","",IFERROR(IF($F27="Outdoor",Tables!$B$8,$R27/3600),"—"))</f>
        <v/>
      </c>
      <c r="AP27" s="73" t="str">
        <f aca="false">IF($C27="","",IFERROR($S27*$AN27/$AO27,"—"))</f>
        <v/>
      </c>
      <c r="AQ27" s="74" t="str">
        <f aca="false">IF($C27="","",IFERROR(IF($AP27&lt;Tables!$B$7,"High",IF($F27="Outdoor","Medium",IF($AP27&lt;$Q27,"Medium","Low"))),"—"))</f>
        <v/>
      </c>
      <c r="AR27" s="75" t="str">
        <f aca="false">IF($C27="","",IFERROR(-$S27/$AO27*LN($V27*$AM27/Tables!$B$6)/60,"—"))</f>
        <v/>
      </c>
      <c r="AS27" s="76" t="str">
        <f aca="false">IF($C27="","",IFERROR(INDEX(Tables!$B$22:$J$24,MATCH($E27,Tables!$A$22:$A$24,0),MATCH($AQ27&amp;"-"&amp;$T27,Tables!$B$21:$J$21,0)),"—"))</f>
        <v/>
      </c>
      <c r="AT27" s="77" t="str">
        <f aca="false">IF($C27="","",IFERROR((3*$AP27/(2*PI()))^(1/3),"—"))</f>
        <v/>
      </c>
      <c r="AU27" s="78" t="str">
        <f aca="false">IF($C27="","",IFERROR(IF(ISNUMBER(SEARCH("Zone 0",IFERROR(LEFT($AS27,FIND("(",$AS27)-1),$AS27))),"Ga",IF(ISNUMBER(SEARCH("Zone 1",IFERROR(LEFT($AS27,FIND("(",$AS27)-1),$AS27))),"Gb",IF(ISNUMBER(SEARCH("Zone 2",IFERROR(LEFT($AS27,FIND("(",$AS27)-1),$AS27))),"Gc","None required"))),"—"))</f>
        <v/>
      </c>
      <c r="AV27" s="74" t="str">
        <f aca="false">IF($C27="","",IFERROR(IF($AU27="None required","—",$AB27&amp;" "&amp;INDEX(Tables!$B$31:$B$37,MATCH($AA27-0.001,Tables!$A$31:$A$37,1))),"—"))</f>
        <v/>
      </c>
      <c r="AW27" s="79" t="str">
        <f aca="false">IF($C27="","",TRIM(IF(IF(ISNUMBER($Z27),$H27&lt;$Z27-5,FALSE()),"Handled &gt;5°C below flash point — may not need zoning (unless mist/spray). ","")&amp;IF(IF(AND($D27="Pool evaporation",ISNUMBER($Y27)),$H27&gt;=$Y27,FALSE()),"Liquid at/above boiling point — pool equation not valid, treat as gas release. ","")&amp;IF(IF(AND($D27="Liquid jet",$M27="",ISNUMBER($Y27)),$H27&lt;$Y27,FALSE()),"Non-flashing liquid: vapour rate set to 0 — model the resulting pool on its own row. ","")&amp;IF(AND($D27="Gas/vapour jet",NOT(ISNUMBER($W27))),"No γ in library for this substance. ","")&amp;IF(IF(ISNUMBER($AC27),$AC27&gt;1.2,FALSE()),"Heavier than air — extend zone at low level / into pits and drains. ","")&amp;IF($AQ27="Low","Vz ≥ V0: ventilation cannot control the release — whole room affected. ","")&amp;IF(AND($F27="Indoor",OR($Q27="",$R27="")),"Indoor: enter room volume and air changes. ","")))</f>
        <v/>
      </c>
    </row>
    <row r="28" customFormat="false" ht="15" hidden="false" customHeight="false" outlineLevel="0" collapsed="false">
      <c r="A28" s="56"/>
      <c r="B28" s="57"/>
      <c r="C28" s="56"/>
      <c r="D28" s="56"/>
      <c r="E28" s="56"/>
      <c r="F28" s="56"/>
      <c r="G28" s="58"/>
      <c r="H28" s="59"/>
      <c r="I28" s="59"/>
      <c r="J28" s="60"/>
      <c r="K28" s="58"/>
      <c r="L28" s="58"/>
      <c r="M28" s="58"/>
      <c r="N28" s="58"/>
      <c r="O28" s="58"/>
      <c r="P28" s="58"/>
      <c r="Q28" s="61"/>
      <c r="R28" s="59"/>
      <c r="S28" s="59"/>
      <c r="T28" s="56"/>
      <c r="U28" s="62" t="str">
        <f aca="false">IF($C28="","",IFERROR(IF(INDEX(Substances!$C$2:$C$60,MATCH($C28,Substances!$A$2:$A$60,0))="","",INDEX(Substances!$C$2:$C$60,MATCH($C28,Substances!$A$2:$A$60,0))),"—"))</f>
        <v/>
      </c>
      <c r="V28" s="63" t="str">
        <f aca="false">IF($C28="","",IFERROR(IF(INDEX(Substances!$D$2:$D$60,MATCH($C28,Substances!$A$2:$A$60,0))="","",INDEX(Substances!$D$2:$D$60,MATCH($C28,Substances!$A$2:$A$60,0))),"—"))</f>
        <v/>
      </c>
      <c r="W28" s="62" t="str">
        <f aca="false">IF($C28="","",IFERROR(IF(INDEX(Substances!$F$2:$F$60,MATCH($C28,Substances!$A$2:$A$60,0))="","",INDEX(Substances!$F$2:$F$60,MATCH($C28,Substances!$A$2:$A$60,0))),"—"))</f>
        <v/>
      </c>
      <c r="X28" s="64" t="str">
        <f aca="false">IF($C28="","",IFERROR(IF(INDEX(Substances!$G$2:$G$60,MATCH($C28,Substances!$A$2:$A$60,0))="","",INDEX(Substances!$G$2:$G$60,MATCH($C28,Substances!$A$2:$A$60,0))),"—"))</f>
        <v/>
      </c>
      <c r="Y28" s="63" t="str">
        <f aca="false">IF($C28="","",IFERROR(IF(INDEX(Substances!$H$2:$H$60,MATCH($C28,Substances!$A$2:$A$60,0))="","",INDEX(Substances!$H$2:$H$60,MATCH($C28,Substances!$A$2:$A$60,0))),"—"))</f>
        <v/>
      </c>
      <c r="Z28" s="64" t="str">
        <f aca="false">IF($C28="","",IFERROR(IF(INDEX(Substances!$I$2:$I$60,MATCH($C28,Substances!$A$2:$A$60,0))="","",INDEX(Substances!$I$2:$I$60,MATCH($C28,Substances!$A$2:$A$60,0))),"—"))</f>
        <v/>
      </c>
      <c r="AA28" s="64" t="str">
        <f aca="false">IF($C28="","",IFERROR(IF(INDEX(Substances!$J$2:$J$60,MATCH($C28,Substances!$A$2:$A$60,0))="","",INDEX(Substances!$J$2:$J$60,MATCH($C28,Substances!$A$2:$A$60,0))),"—"))</f>
        <v/>
      </c>
      <c r="AB28" s="65" t="str">
        <f aca="false">IF($C28="","",IFERROR(IF(INDEX(Substances!$K$2:$K$60,MATCH($C28,Substances!$A$2:$A$60,0))="","",INDEX(Substances!$K$2:$K$60,MATCH($C28,Substances!$A$2:$A$60,0))),"—"))</f>
        <v/>
      </c>
      <c r="AC28" s="62" t="str">
        <f aca="false">IF($C28="","",IFERROR($U28/28.96,"—"))</f>
        <v/>
      </c>
      <c r="AD28" s="66" t="str">
        <f aca="false">IF($C28="","",IFERROR(N($G28)*100000+Tables!$B$4,"—"))</f>
        <v/>
      </c>
      <c r="AE28" s="67" t="str">
        <f aca="false">IF($C28="","",IFERROR($H28+273.15,"—"))</f>
        <v/>
      </c>
      <c r="AF28" s="67" t="str">
        <f aca="false">IF($C28="","",IFERROR($I28+273.15,"—"))</f>
        <v/>
      </c>
      <c r="AG28" s="66" t="str">
        <f aca="false">IF($C28="","",IFERROR(IF($D28="Gas/vapour jet",Tables!$B$4*(($W28+1)/2)^($W28/($W28-1)),"n/a"),"—"))</f>
        <v/>
      </c>
      <c r="AH28" s="68" t="str">
        <f aca="false">IF($C28="","",IFERROR(IF($D28="Gas/vapour jet",IF($AD28&gt;$AG28,"Choked","Subsonic"),"n/a"),"—"))</f>
        <v/>
      </c>
      <c r="AI28" s="69" t="str">
        <f aca="false">IF($C28="","",IFERROR(IF($D28="Gas/vapour jet","n/a",MIN(101.325,IF($P28&lt;&gt;"",$P28,IF(N(INDEX(Substances!$L$2:$L$60,MATCH($C28,Substances!$A$2:$A$60,0)))&lt;&gt;0,0.133322*10^(INDEX(Substances!$L$2:$L$60,MATCH($C28,Substances!$A$2:$A$60,0))-INDEX(Substances!$M$2:$M$60,MATCH($C28,Substances!$A$2:$A$60,0))/(INDEX(Substances!$N$2:$N$60,MATCH($C28,Substances!$A$2:$A$60,0))+$H28)),101.325*EXP(10.58*(1-($Y28+273.15)/$AE28)))))),"—"))</f>
        <v/>
      </c>
      <c r="AJ28" s="70" t="str">
        <f aca="false">IF($C28="","",IFERROR(IF($D28="Liquid jet",$K28*$J28*0.000001*SQRT(2*$X28*N($G28)*100000),"n/a"),"—"))</f>
        <v/>
      </c>
      <c r="AK28" s="71" t="str">
        <f aca="false">IF($C28="","",IFERROR(IF($D28="Gas/vapour jet",IF($AH28="Choked",$K28*$J28*0.000001*$AD28*SQRT($W28*$U28/($L28*Tables!$B$5*$AE28)*(2/($W28+1))^(($W28+1)/($W28-1))),$K28*$J28*0.000001*$AD28*SQRT($U28/($L28*Tables!$B$5*$AE28)*(2*$W28/($W28-1))*(1-(Tables!$B$4/$AD28)^(($W28-1)/$W28))*(Tables!$B$4/$AD28)^(2/$W28))),IF($D28="Liquid jet",$AJ28*IF($M28&lt;&gt;"",$M28,IF($H28&gt;=$Y28,1,0)),6.55*$O28^0.78*$N28*$AI28*$U28^0.667/(Tables!$B$5*$AE28))),"—"))</f>
        <v/>
      </c>
      <c r="AL28" s="72" t="str">
        <f aca="false">IF($C28="","",IFERROR(Tables!$B$10*$U28*$V28,"—"))</f>
        <v/>
      </c>
      <c r="AM28" s="69" t="str">
        <f aca="false">IF($C28="","",IFERROR(INDEX(Tables!$B$15:$B$17,MATCH($E28,Tables!$A$15:$A$17,0)),"—"))</f>
        <v/>
      </c>
      <c r="AN28" s="70" t="str">
        <f aca="false">IF($C28="","",IFERROR($AK28/($AM28*$AL28)*$AF28/Tables!$B$9,"—"))</f>
        <v/>
      </c>
      <c r="AO28" s="72" t="str">
        <f aca="false">IF($C28="","",IFERROR(IF($F28="Outdoor",Tables!$B$8,$R28/3600),"—"))</f>
        <v/>
      </c>
      <c r="AP28" s="73" t="str">
        <f aca="false">IF($C28="","",IFERROR($S28*$AN28/$AO28,"—"))</f>
        <v/>
      </c>
      <c r="AQ28" s="74" t="str">
        <f aca="false">IF($C28="","",IFERROR(IF($AP28&lt;Tables!$B$7,"High",IF($F28="Outdoor","Medium",IF($AP28&lt;$Q28,"Medium","Low"))),"—"))</f>
        <v/>
      </c>
      <c r="AR28" s="75" t="str">
        <f aca="false">IF($C28="","",IFERROR(-$S28/$AO28*LN($V28*$AM28/Tables!$B$6)/60,"—"))</f>
        <v/>
      </c>
      <c r="AS28" s="76" t="str">
        <f aca="false">IF($C28="","",IFERROR(INDEX(Tables!$B$22:$J$24,MATCH($E28,Tables!$A$22:$A$24,0),MATCH($AQ28&amp;"-"&amp;$T28,Tables!$B$21:$J$21,0)),"—"))</f>
        <v/>
      </c>
      <c r="AT28" s="77" t="str">
        <f aca="false">IF($C28="","",IFERROR((3*$AP28/(2*PI()))^(1/3),"—"))</f>
        <v/>
      </c>
      <c r="AU28" s="78" t="str">
        <f aca="false">IF($C28="","",IFERROR(IF(ISNUMBER(SEARCH("Zone 0",IFERROR(LEFT($AS28,FIND("(",$AS28)-1),$AS28))),"Ga",IF(ISNUMBER(SEARCH("Zone 1",IFERROR(LEFT($AS28,FIND("(",$AS28)-1),$AS28))),"Gb",IF(ISNUMBER(SEARCH("Zone 2",IFERROR(LEFT($AS28,FIND("(",$AS28)-1),$AS28))),"Gc","None required"))),"—"))</f>
        <v/>
      </c>
      <c r="AV28" s="74" t="str">
        <f aca="false">IF($C28="","",IFERROR(IF($AU28="None required","—",$AB28&amp;" "&amp;INDEX(Tables!$B$31:$B$37,MATCH($AA28-0.001,Tables!$A$31:$A$37,1))),"—"))</f>
        <v/>
      </c>
      <c r="AW28" s="79" t="str">
        <f aca="false">IF($C28="","",TRIM(IF(IF(ISNUMBER($Z28),$H28&lt;$Z28-5,FALSE()),"Handled &gt;5°C below flash point — may not need zoning (unless mist/spray). ","")&amp;IF(IF(AND($D28="Pool evaporation",ISNUMBER($Y28)),$H28&gt;=$Y28,FALSE()),"Liquid at/above boiling point — pool equation not valid, treat as gas release. ","")&amp;IF(IF(AND($D28="Liquid jet",$M28="",ISNUMBER($Y28)),$H28&lt;$Y28,FALSE()),"Non-flashing liquid: vapour rate set to 0 — model the resulting pool on its own row. ","")&amp;IF(AND($D28="Gas/vapour jet",NOT(ISNUMBER($W28))),"No γ in library for this substance. ","")&amp;IF(IF(ISNUMBER($AC28),$AC28&gt;1.2,FALSE()),"Heavier than air — extend zone at low level / into pits and drains. ","")&amp;IF($AQ28="Low","Vz ≥ V0: ventilation cannot control the release — whole room affected. ","")&amp;IF(AND($F28="Indoor",OR($Q28="",$R28="")),"Indoor: enter room volume and air changes. ","")))</f>
        <v/>
      </c>
    </row>
    <row r="29" customFormat="false" ht="15" hidden="false" customHeight="false" outlineLevel="0" collapsed="false">
      <c r="A29" s="56"/>
      <c r="B29" s="57"/>
      <c r="C29" s="56"/>
      <c r="D29" s="56"/>
      <c r="E29" s="56"/>
      <c r="F29" s="56"/>
      <c r="G29" s="58"/>
      <c r="H29" s="59"/>
      <c r="I29" s="59"/>
      <c r="J29" s="60"/>
      <c r="K29" s="58"/>
      <c r="L29" s="58"/>
      <c r="M29" s="58"/>
      <c r="N29" s="58"/>
      <c r="O29" s="58"/>
      <c r="P29" s="58"/>
      <c r="Q29" s="61"/>
      <c r="R29" s="59"/>
      <c r="S29" s="59"/>
      <c r="T29" s="56"/>
      <c r="U29" s="62" t="str">
        <f aca="false">IF($C29="","",IFERROR(IF(INDEX(Substances!$C$2:$C$60,MATCH($C29,Substances!$A$2:$A$60,0))="","",INDEX(Substances!$C$2:$C$60,MATCH($C29,Substances!$A$2:$A$60,0))),"—"))</f>
        <v/>
      </c>
      <c r="V29" s="63" t="str">
        <f aca="false">IF($C29="","",IFERROR(IF(INDEX(Substances!$D$2:$D$60,MATCH($C29,Substances!$A$2:$A$60,0))="","",INDEX(Substances!$D$2:$D$60,MATCH($C29,Substances!$A$2:$A$60,0))),"—"))</f>
        <v/>
      </c>
      <c r="W29" s="62" t="str">
        <f aca="false">IF($C29="","",IFERROR(IF(INDEX(Substances!$F$2:$F$60,MATCH($C29,Substances!$A$2:$A$60,0))="","",INDEX(Substances!$F$2:$F$60,MATCH($C29,Substances!$A$2:$A$60,0))),"—"))</f>
        <v/>
      </c>
      <c r="X29" s="64" t="str">
        <f aca="false">IF($C29="","",IFERROR(IF(INDEX(Substances!$G$2:$G$60,MATCH($C29,Substances!$A$2:$A$60,0))="","",INDEX(Substances!$G$2:$G$60,MATCH($C29,Substances!$A$2:$A$60,0))),"—"))</f>
        <v/>
      </c>
      <c r="Y29" s="63" t="str">
        <f aca="false">IF($C29="","",IFERROR(IF(INDEX(Substances!$H$2:$H$60,MATCH($C29,Substances!$A$2:$A$60,0))="","",INDEX(Substances!$H$2:$H$60,MATCH($C29,Substances!$A$2:$A$60,0))),"—"))</f>
        <v/>
      </c>
      <c r="Z29" s="64" t="str">
        <f aca="false">IF($C29="","",IFERROR(IF(INDEX(Substances!$I$2:$I$60,MATCH($C29,Substances!$A$2:$A$60,0))="","",INDEX(Substances!$I$2:$I$60,MATCH($C29,Substances!$A$2:$A$60,0))),"—"))</f>
        <v/>
      </c>
      <c r="AA29" s="64" t="str">
        <f aca="false">IF($C29="","",IFERROR(IF(INDEX(Substances!$J$2:$J$60,MATCH($C29,Substances!$A$2:$A$60,0))="","",INDEX(Substances!$J$2:$J$60,MATCH($C29,Substances!$A$2:$A$60,0))),"—"))</f>
        <v/>
      </c>
      <c r="AB29" s="65" t="str">
        <f aca="false">IF($C29="","",IFERROR(IF(INDEX(Substances!$K$2:$K$60,MATCH($C29,Substances!$A$2:$A$60,0))="","",INDEX(Substances!$K$2:$K$60,MATCH($C29,Substances!$A$2:$A$60,0))),"—"))</f>
        <v/>
      </c>
      <c r="AC29" s="62" t="str">
        <f aca="false">IF($C29="","",IFERROR($U29/28.96,"—"))</f>
        <v/>
      </c>
      <c r="AD29" s="66" t="str">
        <f aca="false">IF($C29="","",IFERROR(N($G29)*100000+Tables!$B$4,"—"))</f>
        <v/>
      </c>
      <c r="AE29" s="67" t="str">
        <f aca="false">IF($C29="","",IFERROR($H29+273.15,"—"))</f>
        <v/>
      </c>
      <c r="AF29" s="67" t="str">
        <f aca="false">IF($C29="","",IFERROR($I29+273.15,"—"))</f>
        <v/>
      </c>
      <c r="AG29" s="66" t="str">
        <f aca="false">IF($C29="","",IFERROR(IF($D29="Gas/vapour jet",Tables!$B$4*(($W29+1)/2)^($W29/($W29-1)),"n/a"),"—"))</f>
        <v/>
      </c>
      <c r="AH29" s="68" t="str">
        <f aca="false">IF($C29="","",IFERROR(IF($D29="Gas/vapour jet",IF($AD29&gt;$AG29,"Choked","Subsonic"),"n/a"),"—"))</f>
        <v/>
      </c>
      <c r="AI29" s="69" t="str">
        <f aca="false">IF($C29="","",IFERROR(IF($D29="Gas/vapour jet","n/a",MIN(101.325,IF($P29&lt;&gt;"",$P29,IF(N(INDEX(Substances!$L$2:$L$60,MATCH($C29,Substances!$A$2:$A$60,0)))&lt;&gt;0,0.133322*10^(INDEX(Substances!$L$2:$L$60,MATCH($C29,Substances!$A$2:$A$60,0))-INDEX(Substances!$M$2:$M$60,MATCH($C29,Substances!$A$2:$A$60,0))/(INDEX(Substances!$N$2:$N$60,MATCH($C29,Substances!$A$2:$A$60,0))+$H29)),101.325*EXP(10.58*(1-($Y29+273.15)/$AE29)))))),"—"))</f>
        <v/>
      </c>
      <c r="AJ29" s="70" t="str">
        <f aca="false">IF($C29="","",IFERROR(IF($D29="Liquid jet",$K29*$J29*0.000001*SQRT(2*$X29*N($G29)*100000),"n/a"),"—"))</f>
        <v/>
      </c>
      <c r="AK29" s="71" t="str">
        <f aca="false">IF($C29="","",IFERROR(IF($D29="Gas/vapour jet",IF($AH29="Choked",$K29*$J29*0.000001*$AD29*SQRT($W29*$U29/($L29*Tables!$B$5*$AE29)*(2/($W29+1))^(($W29+1)/($W29-1))),$K29*$J29*0.000001*$AD29*SQRT($U29/($L29*Tables!$B$5*$AE29)*(2*$W29/($W29-1))*(1-(Tables!$B$4/$AD29)^(($W29-1)/$W29))*(Tables!$B$4/$AD29)^(2/$W29))),IF($D29="Liquid jet",$AJ29*IF($M29&lt;&gt;"",$M29,IF($H29&gt;=$Y29,1,0)),6.55*$O29^0.78*$N29*$AI29*$U29^0.667/(Tables!$B$5*$AE29))),"—"))</f>
        <v/>
      </c>
      <c r="AL29" s="72" t="str">
        <f aca="false">IF($C29="","",IFERROR(Tables!$B$10*$U29*$V29,"—"))</f>
        <v/>
      </c>
      <c r="AM29" s="69" t="str">
        <f aca="false">IF($C29="","",IFERROR(INDEX(Tables!$B$15:$B$17,MATCH($E29,Tables!$A$15:$A$17,0)),"—"))</f>
        <v/>
      </c>
      <c r="AN29" s="70" t="str">
        <f aca="false">IF($C29="","",IFERROR($AK29/($AM29*$AL29)*$AF29/Tables!$B$9,"—"))</f>
        <v/>
      </c>
      <c r="AO29" s="72" t="str">
        <f aca="false">IF($C29="","",IFERROR(IF($F29="Outdoor",Tables!$B$8,$R29/3600),"—"))</f>
        <v/>
      </c>
      <c r="AP29" s="73" t="str">
        <f aca="false">IF($C29="","",IFERROR($S29*$AN29/$AO29,"—"))</f>
        <v/>
      </c>
      <c r="AQ29" s="74" t="str">
        <f aca="false">IF($C29="","",IFERROR(IF($AP29&lt;Tables!$B$7,"High",IF($F29="Outdoor","Medium",IF($AP29&lt;$Q29,"Medium","Low"))),"—"))</f>
        <v/>
      </c>
      <c r="AR29" s="75" t="str">
        <f aca="false">IF($C29="","",IFERROR(-$S29/$AO29*LN($V29*$AM29/Tables!$B$6)/60,"—"))</f>
        <v/>
      </c>
      <c r="AS29" s="76" t="str">
        <f aca="false">IF($C29="","",IFERROR(INDEX(Tables!$B$22:$J$24,MATCH($E29,Tables!$A$22:$A$24,0),MATCH($AQ29&amp;"-"&amp;$T29,Tables!$B$21:$J$21,0)),"—"))</f>
        <v/>
      </c>
      <c r="AT29" s="77" t="str">
        <f aca="false">IF($C29="","",IFERROR((3*$AP29/(2*PI()))^(1/3),"—"))</f>
        <v/>
      </c>
      <c r="AU29" s="78" t="str">
        <f aca="false">IF($C29="","",IFERROR(IF(ISNUMBER(SEARCH("Zone 0",IFERROR(LEFT($AS29,FIND("(",$AS29)-1),$AS29))),"Ga",IF(ISNUMBER(SEARCH("Zone 1",IFERROR(LEFT($AS29,FIND("(",$AS29)-1),$AS29))),"Gb",IF(ISNUMBER(SEARCH("Zone 2",IFERROR(LEFT($AS29,FIND("(",$AS29)-1),$AS29))),"Gc","None required"))),"—"))</f>
        <v/>
      </c>
      <c r="AV29" s="74" t="str">
        <f aca="false">IF($C29="","",IFERROR(IF($AU29="None required","—",$AB29&amp;" "&amp;INDEX(Tables!$B$31:$B$37,MATCH($AA29-0.001,Tables!$A$31:$A$37,1))),"—"))</f>
        <v/>
      </c>
      <c r="AW29" s="79" t="str">
        <f aca="false">IF($C29="","",TRIM(IF(IF(ISNUMBER($Z29),$H29&lt;$Z29-5,FALSE()),"Handled &gt;5°C below flash point — may not need zoning (unless mist/spray). ","")&amp;IF(IF(AND($D29="Pool evaporation",ISNUMBER($Y29)),$H29&gt;=$Y29,FALSE()),"Liquid at/above boiling point — pool equation not valid, treat as gas release. ","")&amp;IF(IF(AND($D29="Liquid jet",$M29="",ISNUMBER($Y29)),$H29&lt;$Y29,FALSE()),"Non-flashing liquid: vapour rate set to 0 — model the resulting pool on its own row. ","")&amp;IF(AND($D29="Gas/vapour jet",NOT(ISNUMBER($W29))),"No γ in library for this substance. ","")&amp;IF(IF(ISNUMBER($AC29),$AC29&gt;1.2,FALSE()),"Heavier than air — extend zone at low level / into pits and drains. ","")&amp;IF($AQ29="Low","Vz ≥ V0: ventilation cannot control the release — whole room affected. ","")&amp;IF(AND($F29="Indoor",OR($Q29="",$R29="")),"Indoor: enter room volume and air changes. ","")))</f>
        <v/>
      </c>
    </row>
    <row r="30" customFormat="false" ht="15" hidden="false" customHeight="false" outlineLevel="0" collapsed="false">
      <c r="A30" s="56"/>
      <c r="B30" s="57"/>
      <c r="C30" s="56"/>
      <c r="D30" s="56"/>
      <c r="E30" s="56"/>
      <c r="F30" s="56"/>
      <c r="G30" s="58"/>
      <c r="H30" s="59"/>
      <c r="I30" s="59"/>
      <c r="J30" s="60"/>
      <c r="K30" s="58"/>
      <c r="L30" s="58"/>
      <c r="M30" s="58"/>
      <c r="N30" s="58"/>
      <c r="O30" s="58"/>
      <c r="P30" s="58"/>
      <c r="Q30" s="61"/>
      <c r="R30" s="59"/>
      <c r="S30" s="59"/>
      <c r="T30" s="56"/>
      <c r="U30" s="62" t="str">
        <f aca="false">IF($C30="","",IFERROR(IF(INDEX(Substances!$C$2:$C$60,MATCH($C30,Substances!$A$2:$A$60,0))="","",INDEX(Substances!$C$2:$C$60,MATCH($C30,Substances!$A$2:$A$60,0))),"—"))</f>
        <v/>
      </c>
      <c r="V30" s="63" t="str">
        <f aca="false">IF($C30="","",IFERROR(IF(INDEX(Substances!$D$2:$D$60,MATCH($C30,Substances!$A$2:$A$60,0))="","",INDEX(Substances!$D$2:$D$60,MATCH($C30,Substances!$A$2:$A$60,0))),"—"))</f>
        <v/>
      </c>
      <c r="W30" s="62" t="str">
        <f aca="false">IF($C30="","",IFERROR(IF(INDEX(Substances!$F$2:$F$60,MATCH($C30,Substances!$A$2:$A$60,0))="","",INDEX(Substances!$F$2:$F$60,MATCH($C30,Substances!$A$2:$A$60,0))),"—"))</f>
        <v/>
      </c>
      <c r="X30" s="64" t="str">
        <f aca="false">IF($C30="","",IFERROR(IF(INDEX(Substances!$G$2:$G$60,MATCH($C30,Substances!$A$2:$A$60,0))="","",INDEX(Substances!$G$2:$G$60,MATCH($C30,Substances!$A$2:$A$60,0))),"—"))</f>
        <v/>
      </c>
      <c r="Y30" s="63" t="str">
        <f aca="false">IF($C30="","",IFERROR(IF(INDEX(Substances!$H$2:$H$60,MATCH($C30,Substances!$A$2:$A$60,0))="","",INDEX(Substances!$H$2:$H$60,MATCH($C30,Substances!$A$2:$A$60,0))),"—"))</f>
        <v/>
      </c>
      <c r="Z30" s="64" t="str">
        <f aca="false">IF($C30="","",IFERROR(IF(INDEX(Substances!$I$2:$I$60,MATCH($C30,Substances!$A$2:$A$60,0))="","",INDEX(Substances!$I$2:$I$60,MATCH($C30,Substances!$A$2:$A$60,0))),"—"))</f>
        <v/>
      </c>
      <c r="AA30" s="64" t="str">
        <f aca="false">IF($C30="","",IFERROR(IF(INDEX(Substances!$J$2:$J$60,MATCH($C30,Substances!$A$2:$A$60,0))="","",INDEX(Substances!$J$2:$J$60,MATCH($C30,Substances!$A$2:$A$60,0))),"—"))</f>
        <v/>
      </c>
      <c r="AB30" s="65" t="str">
        <f aca="false">IF($C30="","",IFERROR(IF(INDEX(Substances!$K$2:$K$60,MATCH($C30,Substances!$A$2:$A$60,0))="","",INDEX(Substances!$K$2:$K$60,MATCH($C30,Substances!$A$2:$A$60,0))),"—"))</f>
        <v/>
      </c>
      <c r="AC30" s="62" t="str">
        <f aca="false">IF($C30="","",IFERROR($U30/28.96,"—"))</f>
        <v/>
      </c>
      <c r="AD30" s="66" t="str">
        <f aca="false">IF($C30="","",IFERROR(N($G30)*100000+Tables!$B$4,"—"))</f>
        <v/>
      </c>
      <c r="AE30" s="67" t="str">
        <f aca="false">IF($C30="","",IFERROR($H30+273.15,"—"))</f>
        <v/>
      </c>
      <c r="AF30" s="67" t="str">
        <f aca="false">IF($C30="","",IFERROR($I30+273.15,"—"))</f>
        <v/>
      </c>
      <c r="AG30" s="66" t="str">
        <f aca="false">IF($C30="","",IFERROR(IF($D30="Gas/vapour jet",Tables!$B$4*(($W30+1)/2)^($W30/($W30-1)),"n/a"),"—"))</f>
        <v/>
      </c>
      <c r="AH30" s="68" t="str">
        <f aca="false">IF($C30="","",IFERROR(IF($D30="Gas/vapour jet",IF($AD30&gt;$AG30,"Choked","Subsonic"),"n/a"),"—"))</f>
        <v/>
      </c>
      <c r="AI30" s="69" t="str">
        <f aca="false">IF($C30="","",IFERROR(IF($D30="Gas/vapour jet","n/a",MIN(101.325,IF($P30&lt;&gt;"",$P30,IF(N(INDEX(Substances!$L$2:$L$60,MATCH($C30,Substances!$A$2:$A$60,0)))&lt;&gt;0,0.133322*10^(INDEX(Substances!$L$2:$L$60,MATCH($C30,Substances!$A$2:$A$60,0))-INDEX(Substances!$M$2:$M$60,MATCH($C30,Substances!$A$2:$A$60,0))/(INDEX(Substances!$N$2:$N$60,MATCH($C30,Substances!$A$2:$A$60,0))+$H30)),101.325*EXP(10.58*(1-($Y30+273.15)/$AE30)))))),"—"))</f>
        <v/>
      </c>
      <c r="AJ30" s="70" t="str">
        <f aca="false">IF($C30="","",IFERROR(IF($D30="Liquid jet",$K30*$J30*0.000001*SQRT(2*$X30*N($G30)*100000),"n/a"),"—"))</f>
        <v/>
      </c>
      <c r="AK30" s="71" t="str">
        <f aca="false">IF($C30="","",IFERROR(IF($D30="Gas/vapour jet",IF($AH30="Choked",$K30*$J30*0.000001*$AD30*SQRT($W30*$U30/($L30*Tables!$B$5*$AE30)*(2/($W30+1))^(($W30+1)/($W30-1))),$K30*$J30*0.000001*$AD30*SQRT($U30/($L30*Tables!$B$5*$AE30)*(2*$W30/($W30-1))*(1-(Tables!$B$4/$AD30)^(($W30-1)/$W30))*(Tables!$B$4/$AD30)^(2/$W30))),IF($D30="Liquid jet",$AJ30*IF($M30&lt;&gt;"",$M30,IF($H30&gt;=$Y30,1,0)),6.55*$O30^0.78*$N30*$AI30*$U30^0.667/(Tables!$B$5*$AE30))),"—"))</f>
        <v/>
      </c>
      <c r="AL30" s="72" t="str">
        <f aca="false">IF($C30="","",IFERROR(Tables!$B$10*$U30*$V30,"—"))</f>
        <v/>
      </c>
      <c r="AM30" s="69" t="str">
        <f aca="false">IF($C30="","",IFERROR(INDEX(Tables!$B$15:$B$17,MATCH($E30,Tables!$A$15:$A$17,0)),"—"))</f>
        <v/>
      </c>
      <c r="AN30" s="70" t="str">
        <f aca="false">IF($C30="","",IFERROR($AK30/($AM30*$AL30)*$AF30/Tables!$B$9,"—"))</f>
        <v/>
      </c>
      <c r="AO30" s="72" t="str">
        <f aca="false">IF($C30="","",IFERROR(IF($F30="Outdoor",Tables!$B$8,$R30/3600),"—"))</f>
        <v/>
      </c>
      <c r="AP30" s="73" t="str">
        <f aca="false">IF($C30="","",IFERROR($S30*$AN30/$AO30,"—"))</f>
        <v/>
      </c>
      <c r="AQ30" s="74" t="str">
        <f aca="false">IF($C30="","",IFERROR(IF($AP30&lt;Tables!$B$7,"High",IF($F30="Outdoor","Medium",IF($AP30&lt;$Q30,"Medium","Low"))),"—"))</f>
        <v/>
      </c>
      <c r="AR30" s="75" t="str">
        <f aca="false">IF($C30="","",IFERROR(-$S30/$AO30*LN($V30*$AM30/Tables!$B$6)/60,"—"))</f>
        <v/>
      </c>
      <c r="AS30" s="76" t="str">
        <f aca="false">IF($C30="","",IFERROR(INDEX(Tables!$B$22:$J$24,MATCH($E30,Tables!$A$22:$A$24,0),MATCH($AQ30&amp;"-"&amp;$T30,Tables!$B$21:$J$21,0)),"—"))</f>
        <v/>
      </c>
      <c r="AT30" s="77" t="str">
        <f aca="false">IF($C30="","",IFERROR((3*$AP30/(2*PI()))^(1/3),"—"))</f>
        <v/>
      </c>
      <c r="AU30" s="78" t="str">
        <f aca="false">IF($C30="","",IFERROR(IF(ISNUMBER(SEARCH("Zone 0",IFERROR(LEFT($AS30,FIND("(",$AS30)-1),$AS30))),"Ga",IF(ISNUMBER(SEARCH("Zone 1",IFERROR(LEFT($AS30,FIND("(",$AS30)-1),$AS30))),"Gb",IF(ISNUMBER(SEARCH("Zone 2",IFERROR(LEFT($AS30,FIND("(",$AS30)-1),$AS30))),"Gc","None required"))),"—"))</f>
        <v/>
      </c>
      <c r="AV30" s="74" t="str">
        <f aca="false">IF($C30="","",IFERROR(IF($AU30="None required","—",$AB30&amp;" "&amp;INDEX(Tables!$B$31:$B$37,MATCH($AA30-0.001,Tables!$A$31:$A$37,1))),"—"))</f>
        <v/>
      </c>
      <c r="AW30" s="79" t="str">
        <f aca="false">IF($C30="","",TRIM(IF(IF(ISNUMBER($Z30),$H30&lt;$Z30-5,FALSE()),"Handled &gt;5°C below flash point — may not need zoning (unless mist/spray). ","")&amp;IF(IF(AND($D30="Pool evaporation",ISNUMBER($Y30)),$H30&gt;=$Y30,FALSE()),"Liquid at/above boiling point — pool equation not valid, treat as gas release. ","")&amp;IF(IF(AND($D30="Liquid jet",$M30="",ISNUMBER($Y30)),$H30&lt;$Y30,FALSE()),"Non-flashing liquid: vapour rate set to 0 — model the resulting pool on its own row. ","")&amp;IF(AND($D30="Gas/vapour jet",NOT(ISNUMBER($W30))),"No γ in library for this substance. ","")&amp;IF(IF(ISNUMBER($AC30),$AC30&gt;1.2,FALSE()),"Heavier than air — extend zone at low level / into pits and drains. ","")&amp;IF($AQ30="Low","Vz ≥ V0: ventilation cannot control the release — whole room affected. ","")&amp;IF(AND($F30="Indoor",OR($Q30="",$R30="")),"Indoor: enter room volume and air changes. ","")))</f>
        <v/>
      </c>
    </row>
    <row r="31" customFormat="false" ht="15" hidden="false" customHeight="false" outlineLevel="0" collapsed="false">
      <c r="A31" s="56"/>
      <c r="B31" s="57"/>
      <c r="C31" s="56"/>
      <c r="D31" s="56"/>
      <c r="E31" s="56"/>
      <c r="F31" s="56"/>
      <c r="G31" s="58"/>
      <c r="H31" s="59"/>
      <c r="I31" s="59"/>
      <c r="J31" s="60"/>
      <c r="K31" s="58"/>
      <c r="L31" s="58"/>
      <c r="M31" s="58"/>
      <c r="N31" s="58"/>
      <c r="O31" s="58"/>
      <c r="P31" s="58"/>
      <c r="Q31" s="61"/>
      <c r="R31" s="59"/>
      <c r="S31" s="59"/>
      <c r="T31" s="56"/>
      <c r="U31" s="62" t="str">
        <f aca="false">IF($C31="","",IFERROR(IF(INDEX(Substances!$C$2:$C$60,MATCH($C31,Substances!$A$2:$A$60,0))="","",INDEX(Substances!$C$2:$C$60,MATCH($C31,Substances!$A$2:$A$60,0))),"—"))</f>
        <v/>
      </c>
      <c r="V31" s="63" t="str">
        <f aca="false">IF($C31="","",IFERROR(IF(INDEX(Substances!$D$2:$D$60,MATCH($C31,Substances!$A$2:$A$60,0))="","",INDEX(Substances!$D$2:$D$60,MATCH($C31,Substances!$A$2:$A$60,0))),"—"))</f>
        <v/>
      </c>
      <c r="W31" s="62" t="str">
        <f aca="false">IF($C31="","",IFERROR(IF(INDEX(Substances!$F$2:$F$60,MATCH($C31,Substances!$A$2:$A$60,0))="","",INDEX(Substances!$F$2:$F$60,MATCH($C31,Substances!$A$2:$A$60,0))),"—"))</f>
        <v/>
      </c>
      <c r="X31" s="64" t="str">
        <f aca="false">IF($C31="","",IFERROR(IF(INDEX(Substances!$G$2:$G$60,MATCH($C31,Substances!$A$2:$A$60,0))="","",INDEX(Substances!$G$2:$G$60,MATCH($C31,Substances!$A$2:$A$60,0))),"—"))</f>
        <v/>
      </c>
      <c r="Y31" s="63" t="str">
        <f aca="false">IF($C31="","",IFERROR(IF(INDEX(Substances!$H$2:$H$60,MATCH($C31,Substances!$A$2:$A$60,0))="","",INDEX(Substances!$H$2:$H$60,MATCH($C31,Substances!$A$2:$A$60,0))),"—"))</f>
        <v/>
      </c>
      <c r="Z31" s="64" t="str">
        <f aca="false">IF($C31="","",IFERROR(IF(INDEX(Substances!$I$2:$I$60,MATCH($C31,Substances!$A$2:$A$60,0))="","",INDEX(Substances!$I$2:$I$60,MATCH($C31,Substances!$A$2:$A$60,0))),"—"))</f>
        <v/>
      </c>
      <c r="AA31" s="64" t="str">
        <f aca="false">IF($C31="","",IFERROR(IF(INDEX(Substances!$J$2:$J$60,MATCH($C31,Substances!$A$2:$A$60,0))="","",INDEX(Substances!$J$2:$J$60,MATCH($C31,Substances!$A$2:$A$60,0))),"—"))</f>
        <v/>
      </c>
      <c r="AB31" s="65" t="str">
        <f aca="false">IF($C31="","",IFERROR(IF(INDEX(Substances!$K$2:$K$60,MATCH($C31,Substances!$A$2:$A$60,0))="","",INDEX(Substances!$K$2:$K$60,MATCH($C31,Substances!$A$2:$A$60,0))),"—"))</f>
        <v/>
      </c>
      <c r="AC31" s="62" t="str">
        <f aca="false">IF($C31="","",IFERROR($U31/28.96,"—"))</f>
        <v/>
      </c>
      <c r="AD31" s="66" t="str">
        <f aca="false">IF($C31="","",IFERROR(N($G31)*100000+Tables!$B$4,"—"))</f>
        <v/>
      </c>
      <c r="AE31" s="67" t="str">
        <f aca="false">IF($C31="","",IFERROR($H31+273.15,"—"))</f>
        <v/>
      </c>
      <c r="AF31" s="67" t="str">
        <f aca="false">IF($C31="","",IFERROR($I31+273.15,"—"))</f>
        <v/>
      </c>
      <c r="AG31" s="66" t="str">
        <f aca="false">IF($C31="","",IFERROR(IF($D31="Gas/vapour jet",Tables!$B$4*(($W31+1)/2)^($W31/($W31-1)),"n/a"),"—"))</f>
        <v/>
      </c>
      <c r="AH31" s="68" t="str">
        <f aca="false">IF($C31="","",IFERROR(IF($D31="Gas/vapour jet",IF($AD31&gt;$AG31,"Choked","Subsonic"),"n/a"),"—"))</f>
        <v/>
      </c>
      <c r="AI31" s="69" t="str">
        <f aca="false">IF($C31="","",IFERROR(IF($D31="Gas/vapour jet","n/a",MIN(101.325,IF($P31&lt;&gt;"",$P31,IF(N(INDEX(Substances!$L$2:$L$60,MATCH($C31,Substances!$A$2:$A$60,0)))&lt;&gt;0,0.133322*10^(INDEX(Substances!$L$2:$L$60,MATCH($C31,Substances!$A$2:$A$60,0))-INDEX(Substances!$M$2:$M$60,MATCH($C31,Substances!$A$2:$A$60,0))/(INDEX(Substances!$N$2:$N$60,MATCH($C31,Substances!$A$2:$A$60,0))+$H31)),101.325*EXP(10.58*(1-($Y31+273.15)/$AE31)))))),"—"))</f>
        <v/>
      </c>
      <c r="AJ31" s="70" t="str">
        <f aca="false">IF($C31="","",IFERROR(IF($D31="Liquid jet",$K31*$J31*0.000001*SQRT(2*$X31*N($G31)*100000),"n/a"),"—"))</f>
        <v/>
      </c>
      <c r="AK31" s="71" t="str">
        <f aca="false">IF($C31="","",IFERROR(IF($D31="Gas/vapour jet",IF($AH31="Choked",$K31*$J31*0.000001*$AD31*SQRT($W31*$U31/($L31*Tables!$B$5*$AE31)*(2/($W31+1))^(($W31+1)/($W31-1))),$K31*$J31*0.000001*$AD31*SQRT($U31/($L31*Tables!$B$5*$AE31)*(2*$W31/($W31-1))*(1-(Tables!$B$4/$AD31)^(($W31-1)/$W31))*(Tables!$B$4/$AD31)^(2/$W31))),IF($D31="Liquid jet",$AJ31*IF($M31&lt;&gt;"",$M31,IF($H31&gt;=$Y31,1,0)),6.55*$O31^0.78*$N31*$AI31*$U31^0.667/(Tables!$B$5*$AE31))),"—"))</f>
        <v/>
      </c>
      <c r="AL31" s="72" t="str">
        <f aca="false">IF($C31="","",IFERROR(Tables!$B$10*$U31*$V31,"—"))</f>
        <v/>
      </c>
      <c r="AM31" s="69" t="str">
        <f aca="false">IF($C31="","",IFERROR(INDEX(Tables!$B$15:$B$17,MATCH($E31,Tables!$A$15:$A$17,0)),"—"))</f>
        <v/>
      </c>
      <c r="AN31" s="70" t="str">
        <f aca="false">IF($C31="","",IFERROR($AK31/($AM31*$AL31)*$AF31/Tables!$B$9,"—"))</f>
        <v/>
      </c>
      <c r="AO31" s="72" t="str">
        <f aca="false">IF($C31="","",IFERROR(IF($F31="Outdoor",Tables!$B$8,$R31/3600),"—"))</f>
        <v/>
      </c>
      <c r="AP31" s="73" t="str">
        <f aca="false">IF($C31="","",IFERROR($S31*$AN31/$AO31,"—"))</f>
        <v/>
      </c>
      <c r="AQ31" s="74" t="str">
        <f aca="false">IF($C31="","",IFERROR(IF($AP31&lt;Tables!$B$7,"High",IF($F31="Outdoor","Medium",IF($AP31&lt;$Q31,"Medium","Low"))),"—"))</f>
        <v/>
      </c>
      <c r="AR31" s="75" t="str">
        <f aca="false">IF($C31="","",IFERROR(-$S31/$AO31*LN($V31*$AM31/Tables!$B$6)/60,"—"))</f>
        <v/>
      </c>
      <c r="AS31" s="76" t="str">
        <f aca="false">IF($C31="","",IFERROR(INDEX(Tables!$B$22:$J$24,MATCH($E31,Tables!$A$22:$A$24,0),MATCH($AQ31&amp;"-"&amp;$T31,Tables!$B$21:$J$21,0)),"—"))</f>
        <v/>
      </c>
      <c r="AT31" s="77" t="str">
        <f aca="false">IF($C31="","",IFERROR((3*$AP31/(2*PI()))^(1/3),"—"))</f>
        <v/>
      </c>
      <c r="AU31" s="78" t="str">
        <f aca="false">IF($C31="","",IFERROR(IF(ISNUMBER(SEARCH("Zone 0",IFERROR(LEFT($AS31,FIND("(",$AS31)-1),$AS31))),"Ga",IF(ISNUMBER(SEARCH("Zone 1",IFERROR(LEFT($AS31,FIND("(",$AS31)-1),$AS31))),"Gb",IF(ISNUMBER(SEARCH("Zone 2",IFERROR(LEFT($AS31,FIND("(",$AS31)-1),$AS31))),"Gc","None required"))),"—"))</f>
        <v/>
      </c>
      <c r="AV31" s="74" t="str">
        <f aca="false">IF($C31="","",IFERROR(IF($AU31="None required","—",$AB31&amp;" "&amp;INDEX(Tables!$B$31:$B$37,MATCH($AA31-0.001,Tables!$A$31:$A$37,1))),"—"))</f>
        <v/>
      </c>
      <c r="AW31" s="79" t="str">
        <f aca="false">IF($C31="","",TRIM(IF(IF(ISNUMBER($Z31),$H31&lt;$Z31-5,FALSE()),"Handled &gt;5°C below flash point — may not need zoning (unless mist/spray). ","")&amp;IF(IF(AND($D31="Pool evaporation",ISNUMBER($Y31)),$H31&gt;=$Y31,FALSE()),"Liquid at/above boiling point — pool equation not valid, treat as gas release. ","")&amp;IF(IF(AND($D31="Liquid jet",$M31="",ISNUMBER($Y31)),$H31&lt;$Y31,FALSE()),"Non-flashing liquid: vapour rate set to 0 — model the resulting pool on its own row. ","")&amp;IF(AND($D31="Gas/vapour jet",NOT(ISNUMBER($W31))),"No γ in library for this substance. ","")&amp;IF(IF(ISNUMBER($AC31),$AC31&gt;1.2,FALSE()),"Heavier than air — extend zone at low level / into pits and drains. ","")&amp;IF($AQ31="Low","Vz ≥ V0: ventilation cannot control the release — whole room affected. ","")&amp;IF(AND($F31="Indoor",OR($Q31="",$R31="")),"Indoor: enter room volume and air changes. ","")))</f>
        <v/>
      </c>
    </row>
    <row r="32" customFormat="false" ht="15" hidden="false" customHeight="false" outlineLevel="0" collapsed="false">
      <c r="A32" s="56"/>
      <c r="B32" s="57"/>
      <c r="C32" s="56"/>
      <c r="D32" s="56"/>
      <c r="E32" s="56"/>
      <c r="F32" s="56"/>
      <c r="G32" s="58"/>
      <c r="H32" s="59"/>
      <c r="I32" s="59"/>
      <c r="J32" s="60"/>
      <c r="K32" s="58"/>
      <c r="L32" s="58"/>
      <c r="M32" s="58"/>
      <c r="N32" s="58"/>
      <c r="O32" s="58"/>
      <c r="P32" s="58"/>
      <c r="Q32" s="61"/>
      <c r="R32" s="59"/>
      <c r="S32" s="59"/>
      <c r="T32" s="56"/>
      <c r="U32" s="62" t="str">
        <f aca="false">IF($C32="","",IFERROR(IF(INDEX(Substances!$C$2:$C$60,MATCH($C32,Substances!$A$2:$A$60,0))="","",INDEX(Substances!$C$2:$C$60,MATCH($C32,Substances!$A$2:$A$60,0))),"—"))</f>
        <v/>
      </c>
      <c r="V32" s="63" t="str">
        <f aca="false">IF($C32="","",IFERROR(IF(INDEX(Substances!$D$2:$D$60,MATCH($C32,Substances!$A$2:$A$60,0))="","",INDEX(Substances!$D$2:$D$60,MATCH($C32,Substances!$A$2:$A$60,0))),"—"))</f>
        <v/>
      </c>
      <c r="W32" s="62" t="str">
        <f aca="false">IF($C32="","",IFERROR(IF(INDEX(Substances!$F$2:$F$60,MATCH($C32,Substances!$A$2:$A$60,0))="","",INDEX(Substances!$F$2:$F$60,MATCH($C32,Substances!$A$2:$A$60,0))),"—"))</f>
        <v/>
      </c>
      <c r="X32" s="64" t="str">
        <f aca="false">IF($C32="","",IFERROR(IF(INDEX(Substances!$G$2:$G$60,MATCH($C32,Substances!$A$2:$A$60,0))="","",INDEX(Substances!$G$2:$G$60,MATCH($C32,Substances!$A$2:$A$60,0))),"—"))</f>
        <v/>
      </c>
      <c r="Y32" s="63" t="str">
        <f aca="false">IF($C32="","",IFERROR(IF(INDEX(Substances!$H$2:$H$60,MATCH($C32,Substances!$A$2:$A$60,0))="","",INDEX(Substances!$H$2:$H$60,MATCH($C32,Substances!$A$2:$A$60,0))),"—"))</f>
        <v/>
      </c>
      <c r="Z32" s="64" t="str">
        <f aca="false">IF($C32="","",IFERROR(IF(INDEX(Substances!$I$2:$I$60,MATCH($C32,Substances!$A$2:$A$60,0))="","",INDEX(Substances!$I$2:$I$60,MATCH($C32,Substances!$A$2:$A$60,0))),"—"))</f>
        <v/>
      </c>
      <c r="AA32" s="64" t="str">
        <f aca="false">IF($C32="","",IFERROR(IF(INDEX(Substances!$J$2:$J$60,MATCH($C32,Substances!$A$2:$A$60,0))="","",INDEX(Substances!$J$2:$J$60,MATCH($C32,Substances!$A$2:$A$60,0))),"—"))</f>
        <v/>
      </c>
      <c r="AB32" s="65" t="str">
        <f aca="false">IF($C32="","",IFERROR(IF(INDEX(Substances!$K$2:$K$60,MATCH($C32,Substances!$A$2:$A$60,0))="","",INDEX(Substances!$K$2:$K$60,MATCH($C32,Substances!$A$2:$A$60,0))),"—"))</f>
        <v/>
      </c>
      <c r="AC32" s="62" t="str">
        <f aca="false">IF($C32="","",IFERROR($U32/28.96,"—"))</f>
        <v/>
      </c>
      <c r="AD32" s="66" t="str">
        <f aca="false">IF($C32="","",IFERROR(N($G32)*100000+Tables!$B$4,"—"))</f>
        <v/>
      </c>
      <c r="AE32" s="67" t="str">
        <f aca="false">IF($C32="","",IFERROR($H32+273.15,"—"))</f>
        <v/>
      </c>
      <c r="AF32" s="67" t="str">
        <f aca="false">IF($C32="","",IFERROR($I32+273.15,"—"))</f>
        <v/>
      </c>
      <c r="AG32" s="66" t="str">
        <f aca="false">IF($C32="","",IFERROR(IF($D32="Gas/vapour jet",Tables!$B$4*(($W32+1)/2)^($W32/($W32-1)),"n/a"),"—"))</f>
        <v/>
      </c>
      <c r="AH32" s="68" t="str">
        <f aca="false">IF($C32="","",IFERROR(IF($D32="Gas/vapour jet",IF($AD32&gt;$AG32,"Choked","Subsonic"),"n/a"),"—"))</f>
        <v/>
      </c>
      <c r="AI32" s="69" t="str">
        <f aca="false">IF($C32="","",IFERROR(IF($D32="Gas/vapour jet","n/a",MIN(101.325,IF($P32&lt;&gt;"",$P32,IF(N(INDEX(Substances!$L$2:$L$60,MATCH($C32,Substances!$A$2:$A$60,0)))&lt;&gt;0,0.133322*10^(INDEX(Substances!$L$2:$L$60,MATCH($C32,Substances!$A$2:$A$60,0))-INDEX(Substances!$M$2:$M$60,MATCH($C32,Substances!$A$2:$A$60,0))/(INDEX(Substances!$N$2:$N$60,MATCH($C32,Substances!$A$2:$A$60,0))+$H32)),101.325*EXP(10.58*(1-($Y32+273.15)/$AE32)))))),"—"))</f>
        <v/>
      </c>
      <c r="AJ32" s="70" t="str">
        <f aca="false">IF($C32="","",IFERROR(IF($D32="Liquid jet",$K32*$J32*0.000001*SQRT(2*$X32*N($G32)*100000),"n/a"),"—"))</f>
        <v/>
      </c>
      <c r="AK32" s="71" t="str">
        <f aca="false">IF($C32="","",IFERROR(IF($D32="Gas/vapour jet",IF($AH32="Choked",$K32*$J32*0.000001*$AD32*SQRT($W32*$U32/($L32*Tables!$B$5*$AE32)*(2/($W32+1))^(($W32+1)/($W32-1))),$K32*$J32*0.000001*$AD32*SQRT($U32/($L32*Tables!$B$5*$AE32)*(2*$W32/($W32-1))*(1-(Tables!$B$4/$AD32)^(($W32-1)/$W32))*(Tables!$B$4/$AD32)^(2/$W32))),IF($D32="Liquid jet",$AJ32*IF($M32&lt;&gt;"",$M32,IF($H32&gt;=$Y32,1,0)),6.55*$O32^0.78*$N32*$AI32*$U32^0.667/(Tables!$B$5*$AE32))),"—"))</f>
        <v/>
      </c>
      <c r="AL32" s="72" t="str">
        <f aca="false">IF($C32="","",IFERROR(Tables!$B$10*$U32*$V32,"—"))</f>
        <v/>
      </c>
      <c r="AM32" s="69" t="str">
        <f aca="false">IF($C32="","",IFERROR(INDEX(Tables!$B$15:$B$17,MATCH($E32,Tables!$A$15:$A$17,0)),"—"))</f>
        <v/>
      </c>
      <c r="AN32" s="70" t="str">
        <f aca="false">IF($C32="","",IFERROR($AK32/($AM32*$AL32)*$AF32/Tables!$B$9,"—"))</f>
        <v/>
      </c>
      <c r="AO32" s="72" t="str">
        <f aca="false">IF($C32="","",IFERROR(IF($F32="Outdoor",Tables!$B$8,$R32/3600),"—"))</f>
        <v/>
      </c>
      <c r="AP32" s="73" t="str">
        <f aca="false">IF($C32="","",IFERROR($S32*$AN32/$AO32,"—"))</f>
        <v/>
      </c>
      <c r="AQ32" s="74" t="str">
        <f aca="false">IF($C32="","",IFERROR(IF($AP32&lt;Tables!$B$7,"High",IF($F32="Outdoor","Medium",IF($AP32&lt;$Q32,"Medium","Low"))),"—"))</f>
        <v/>
      </c>
      <c r="AR32" s="75" t="str">
        <f aca="false">IF($C32="","",IFERROR(-$S32/$AO32*LN($V32*$AM32/Tables!$B$6)/60,"—"))</f>
        <v/>
      </c>
      <c r="AS32" s="76" t="str">
        <f aca="false">IF($C32="","",IFERROR(INDEX(Tables!$B$22:$J$24,MATCH($E32,Tables!$A$22:$A$24,0),MATCH($AQ32&amp;"-"&amp;$T32,Tables!$B$21:$J$21,0)),"—"))</f>
        <v/>
      </c>
      <c r="AT32" s="77" t="str">
        <f aca="false">IF($C32="","",IFERROR((3*$AP32/(2*PI()))^(1/3),"—"))</f>
        <v/>
      </c>
      <c r="AU32" s="78" t="str">
        <f aca="false">IF($C32="","",IFERROR(IF(ISNUMBER(SEARCH("Zone 0",IFERROR(LEFT($AS32,FIND("(",$AS32)-1),$AS32))),"Ga",IF(ISNUMBER(SEARCH("Zone 1",IFERROR(LEFT($AS32,FIND("(",$AS32)-1),$AS32))),"Gb",IF(ISNUMBER(SEARCH("Zone 2",IFERROR(LEFT($AS32,FIND("(",$AS32)-1),$AS32))),"Gc","None required"))),"—"))</f>
        <v/>
      </c>
      <c r="AV32" s="74" t="str">
        <f aca="false">IF($C32="","",IFERROR(IF($AU32="None required","—",$AB32&amp;" "&amp;INDEX(Tables!$B$31:$B$37,MATCH($AA32-0.001,Tables!$A$31:$A$37,1))),"—"))</f>
        <v/>
      </c>
      <c r="AW32" s="79" t="str">
        <f aca="false">IF($C32="","",TRIM(IF(IF(ISNUMBER($Z32),$H32&lt;$Z32-5,FALSE()),"Handled &gt;5°C below flash point — may not need zoning (unless mist/spray). ","")&amp;IF(IF(AND($D32="Pool evaporation",ISNUMBER($Y32)),$H32&gt;=$Y32,FALSE()),"Liquid at/above boiling point — pool equation not valid, treat as gas release. ","")&amp;IF(IF(AND($D32="Liquid jet",$M32="",ISNUMBER($Y32)),$H32&lt;$Y32,FALSE()),"Non-flashing liquid: vapour rate set to 0 — model the resulting pool on its own row. ","")&amp;IF(AND($D32="Gas/vapour jet",NOT(ISNUMBER($W32))),"No γ in library for this substance. ","")&amp;IF(IF(ISNUMBER($AC32),$AC32&gt;1.2,FALSE()),"Heavier than air — extend zone at low level / into pits and drains. ","")&amp;IF($AQ32="Low","Vz ≥ V0: ventilation cannot control the release — whole room affected. ","")&amp;IF(AND($F32="Indoor",OR($Q32="",$R32="")),"Indoor: enter room volume and air changes. ","")))</f>
        <v/>
      </c>
    </row>
    <row r="33" customFormat="false" ht="15" hidden="false" customHeight="false" outlineLevel="0" collapsed="false">
      <c r="A33" s="56"/>
      <c r="B33" s="57"/>
      <c r="C33" s="56"/>
      <c r="D33" s="56"/>
      <c r="E33" s="56"/>
      <c r="F33" s="56"/>
      <c r="G33" s="58"/>
      <c r="H33" s="59"/>
      <c r="I33" s="59"/>
      <c r="J33" s="60"/>
      <c r="K33" s="58"/>
      <c r="L33" s="58"/>
      <c r="M33" s="58"/>
      <c r="N33" s="58"/>
      <c r="O33" s="58"/>
      <c r="P33" s="58"/>
      <c r="Q33" s="61"/>
      <c r="R33" s="59"/>
      <c r="S33" s="59"/>
      <c r="T33" s="56"/>
      <c r="U33" s="62" t="str">
        <f aca="false">IF($C33="","",IFERROR(IF(INDEX(Substances!$C$2:$C$60,MATCH($C33,Substances!$A$2:$A$60,0))="","",INDEX(Substances!$C$2:$C$60,MATCH($C33,Substances!$A$2:$A$60,0))),"—"))</f>
        <v/>
      </c>
      <c r="V33" s="63" t="str">
        <f aca="false">IF($C33="","",IFERROR(IF(INDEX(Substances!$D$2:$D$60,MATCH($C33,Substances!$A$2:$A$60,0))="","",INDEX(Substances!$D$2:$D$60,MATCH($C33,Substances!$A$2:$A$60,0))),"—"))</f>
        <v/>
      </c>
      <c r="W33" s="62" t="str">
        <f aca="false">IF($C33="","",IFERROR(IF(INDEX(Substances!$F$2:$F$60,MATCH($C33,Substances!$A$2:$A$60,0))="","",INDEX(Substances!$F$2:$F$60,MATCH($C33,Substances!$A$2:$A$60,0))),"—"))</f>
        <v/>
      </c>
      <c r="X33" s="64" t="str">
        <f aca="false">IF($C33="","",IFERROR(IF(INDEX(Substances!$G$2:$G$60,MATCH($C33,Substances!$A$2:$A$60,0))="","",INDEX(Substances!$G$2:$G$60,MATCH($C33,Substances!$A$2:$A$60,0))),"—"))</f>
        <v/>
      </c>
      <c r="Y33" s="63" t="str">
        <f aca="false">IF($C33="","",IFERROR(IF(INDEX(Substances!$H$2:$H$60,MATCH($C33,Substances!$A$2:$A$60,0))="","",INDEX(Substances!$H$2:$H$60,MATCH($C33,Substances!$A$2:$A$60,0))),"—"))</f>
        <v/>
      </c>
      <c r="Z33" s="64" t="str">
        <f aca="false">IF($C33="","",IFERROR(IF(INDEX(Substances!$I$2:$I$60,MATCH($C33,Substances!$A$2:$A$60,0))="","",INDEX(Substances!$I$2:$I$60,MATCH($C33,Substances!$A$2:$A$60,0))),"—"))</f>
        <v/>
      </c>
      <c r="AA33" s="64" t="str">
        <f aca="false">IF($C33="","",IFERROR(IF(INDEX(Substances!$J$2:$J$60,MATCH($C33,Substances!$A$2:$A$60,0))="","",INDEX(Substances!$J$2:$J$60,MATCH($C33,Substances!$A$2:$A$60,0))),"—"))</f>
        <v/>
      </c>
      <c r="AB33" s="65" t="str">
        <f aca="false">IF($C33="","",IFERROR(IF(INDEX(Substances!$K$2:$K$60,MATCH($C33,Substances!$A$2:$A$60,0))="","",INDEX(Substances!$K$2:$K$60,MATCH($C33,Substances!$A$2:$A$60,0))),"—"))</f>
        <v/>
      </c>
      <c r="AC33" s="62" t="str">
        <f aca="false">IF($C33="","",IFERROR($U33/28.96,"—"))</f>
        <v/>
      </c>
      <c r="AD33" s="66" t="str">
        <f aca="false">IF($C33="","",IFERROR(N($G33)*100000+Tables!$B$4,"—"))</f>
        <v/>
      </c>
      <c r="AE33" s="67" t="str">
        <f aca="false">IF($C33="","",IFERROR($H33+273.15,"—"))</f>
        <v/>
      </c>
      <c r="AF33" s="67" t="str">
        <f aca="false">IF($C33="","",IFERROR($I33+273.15,"—"))</f>
        <v/>
      </c>
      <c r="AG33" s="66" t="str">
        <f aca="false">IF($C33="","",IFERROR(IF($D33="Gas/vapour jet",Tables!$B$4*(($W33+1)/2)^($W33/($W33-1)),"n/a"),"—"))</f>
        <v/>
      </c>
      <c r="AH33" s="68" t="str">
        <f aca="false">IF($C33="","",IFERROR(IF($D33="Gas/vapour jet",IF($AD33&gt;$AG33,"Choked","Subsonic"),"n/a"),"—"))</f>
        <v/>
      </c>
      <c r="AI33" s="69" t="str">
        <f aca="false">IF($C33="","",IFERROR(IF($D33="Gas/vapour jet","n/a",MIN(101.325,IF($P33&lt;&gt;"",$P33,IF(N(INDEX(Substances!$L$2:$L$60,MATCH($C33,Substances!$A$2:$A$60,0)))&lt;&gt;0,0.133322*10^(INDEX(Substances!$L$2:$L$60,MATCH($C33,Substances!$A$2:$A$60,0))-INDEX(Substances!$M$2:$M$60,MATCH($C33,Substances!$A$2:$A$60,0))/(INDEX(Substances!$N$2:$N$60,MATCH($C33,Substances!$A$2:$A$60,0))+$H33)),101.325*EXP(10.58*(1-($Y33+273.15)/$AE33)))))),"—"))</f>
        <v/>
      </c>
      <c r="AJ33" s="70" t="str">
        <f aca="false">IF($C33="","",IFERROR(IF($D33="Liquid jet",$K33*$J33*0.000001*SQRT(2*$X33*N($G33)*100000),"n/a"),"—"))</f>
        <v/>
      </c>
      <c r="AK33" s="71" t="str">
        <f aca="false">IF($C33="","",IFERROR(IF($D33="Gas/vapour jet",IF($AH33="Choked",$K33*$J33*0.000001*$AD33*SQRT($W33*$U33/($L33*Tables!$B$5*$AE33)*(2/($W33+1))^(($W33+1)/($W33-1))),$K33*$J33*0.000001*$AD33*SQRT($U33/($L33*Tables!$B$5*$AE33)*(2*$W33/($W33-1))*(1-(Tables!$B$4/$AD33)^(($W33-1)/$W33))*(Tables!$B$4/$AD33)^(2/$W33))),IF($D33="Liquid jet",$AJ33*IF($M33&lt;&gt;"",$M33,IF($H33&gt;=$Y33,1,0)),6.55*$O33^0.78*$N33*$AI33*$U33^0.667/(Tables!$B$5*$AE33))),"—"))</f>
        <v/>
      </c>
      <c r="AL33" s="72" t="str">
        <f aca="false">IF($C33="","",IFERROR(Tables!$B$10*$U33*$V33,"—"))</f>
        <v/>
      </c>
      <c r="AM33" s="69" t="str">
        <f aca="false">IF($C33="","",IFERROR(INDEX(Tables!$B$15:$B$17,MATCH($E33,Tables!$A$15:$A$17,0)),"—"))</f>
        <v/>
      </c>
      <c r="AN33" s="70" t="str">
        <f aca="false">IF($C33="","",IFERROR($AK33/($AM33*$AL33)*$AF33/Tables!$B$9,"—"))</f>
        <v/>
      </c>
      <c r="AO33" s="72" t="str">
        <f aca="false">IF($C33="","",IFERROR(IF($F33="Outdoor",Tables!$B$8,$R33/3600),"—"))</f>
        <v/>
      </c>
      <c r="AP33" s="73" t="str">
        <f aca="false">IF($C33="","",IFERROR($S33*$AN33/$AO33,"—"))</f>
        <v/>
      </c>
      <c r="AQ33" s="74" t="str">
        <f aca="false">IF($C33="","",IFERROR(IF($AP33&lt;Tables!$B$7,"High",IF($F33="Outdoor","Medium",IF($AP33&lt;$Q33,"Medium","Low"))),"—"))</f>
        <v/>
      </c>
      <c r="AR33" s="75" t="str">
        <f aca="false">IF($C33="","",IFERROR(-$S33/$AO33*LN($V33*$AM33/Tables!$B$6)/60,"—"))</f>
        <v/>
      </c>
      <c r="AS33" s="76" t="str">
        <f aca="false">IF($C33="","",IFERROR(INDEX(Tables!$B$22:$J$24,MATCH($E33,Tables!$A$22:$A$24,0),MATCH($AQ33&amp;"-"&amp;$T33,Tables!$B$21:$J$21,0)),"—"))</f>
        <v/>
      </c>
      <c r="AT33" s="77" t="str">
        <f aca="false">IF($C33="","",IFERROR((3*$AP33/(2*PI()))^(1/3),"—"))</f>
        <v/>
      </c>
      <c r="AU33" s="78" t="str">
        <f aca="false">IF($C33="","",IFERROR(IF(ISNUMBER(SEARCH("Zone 0",IFERROR(LEFT($AS33,FIND("(",$AS33)-1),$AS33))),"Ga",IF(ISNUMBER(SEARCH("Zone 1",IFERROR(LEFT($AS33,FIND("(",$AS33)-1),$AS33))),"Gb",IF(ISNUMBER(SEARCH("Zone 2",IFERROR(LEFT($AS33,FIND("(",$AS33)-1),$AS33))),"Gc","None required"))),"—"))</f>
        <v/>
      </c>
      <c r="AV33" s="74" t="str">
        <f aca="false">IF($C33="","",IFERROR(IF($AU33="None required","—",$AB33&amp;" "&amp;INDEX(Tables!$B$31:$B$37,MATCH($AA33-0.001,Tables!$A$31:$A$37,1))),"—"))</f>
        <v/>
      </c>
      <c r="AW33" s="79" t="str">
        <f aca="false">IF($C33="","",TRIM(IF(IF(ISNUMBER($Z33),$H33&lt;$Z33-5,FALSE()),"Handled &gt;5°C below flash point — may not need zoning (unless mist/spray). ","")&amp;IF(IF(AND($D33="Pool evaporation",ISNUMBER($Y33)),$H33&gt;=$Y33,FALSE()),"Liquid at/above boiling point — pool equation not valid, treat as gas release. ","")&amp;IF(IF(AND($D33="Liquid jet",$M33="",ISNUMBER($Y33)),$H33&lt;$Y33,FALSE()),"Non-flashing liquid: vapour rate set to 0 — model the resulting pool on its own row. ","")&amp;IF(AND($D33="Gas/vapour jet",NOT(ISNUMBER($W33))),"No γ in library for this substance. ","")&amp;IF(IF(ISNUMBER($AC33),$AC33&gt;1.2,FALSE()),"Heavier than air — extend zone at low level / into pits and drains. ","")&amp;IF($AQ33="Low","Vz ≥ V0: ventilation cannot control the release — whole room affected. ","")&amp;IF(AND($F33="Indoor",OR($Q33="",$R33="")),"Indoor: enter room volume and air changes. ","")))</f>
        <v/>
      </c>
    </row>
    <row r="34" customFormat="false" ht="15" hidden="false" customHeight="false" outlineLevel="0" collapsed="false">
      <c r="A34" s="56"/>
      <c r="B34" s="57"/>
      <c r="C34" s="56"/>
      <c r="D34" s="56"/>
      <c r="E34" s="56"/>
      <c r="F34" s="56"/>
      <c r="G34" s="58"/>
      <c r="H34" s="59"/>
      <c r="I34" s="59"/>
      <c r="J34" s="60"/>
      <c r="K34" s="58"/>
      <c r="L34" s="58"/>
      <c r="M34" s="58"/>
      <c r="N34" s="58"/>
      <c r="O34" s="58"/>
      <c r="P34" s="58"/>
      <c r="Q34" s="61"/>
      <c r="R34" s="59"/>
      <c r="S34" s="59"/>
      <c r="T34" s="56"/>
      <c r="U34" s="62" t="str">
        <f aca="false">IF($C34="","",IFERROR(IF(INDEX(Substances!$C$2:$C$60,MATCH($C34,Substances!$A$2:$A$60,0))="","",INDEX(Substances!$C$2:$C$60,MATCH($C34,Substances!$A$2:$A$60,0))),"—"))</f>
        <v/>
      </c>
      <c r="V34" s="63" t="str">
        <f aca="false">IF($C34="","",IFERROR(IF(INDEX(Substances!$D$2:$D$60,MATCH($C34,Substances!$A$2:$A$60,0))="","",INDEX(Substances!$D$2:$D$60,MATCH($C34,Substances!$A$2:$A$60,0))),"—"))</f>
        <v/>
      </c>
      <c r="W34" s="62" t="str">
        <f aca="false">IF($C34="","",IFERROR(IF(INDEX(Substances!$F$2:$F$60,MATCH($C34,Substances!$A$2:$A$60,0))="","",INDEX(Substances!$F$2:$F$60,MATCH($C34,Substances!$A$2:$A$60,0))),"—"))</f>
        <v/>
      </c>
      <c r="X34" s="64" t="str">
        <f aca="false">IF($C34="","",IFERROR(IF(INDEX(Substances!$G$2:$G$60,MATCH($C34,Substances!$A$2:$A$60,0))="","",INDEX(Substances!$G$2:$G$60,MATCH($C34,Substances!$A$2:$A$60,0))),"—"))</f>
        <v/>
      </c>
      <c r="Y34" s="63" t="str">
        <f aca="false">IF($C34="","",IFERROR(IF(INDEX(Substances!$H$2:$H$60,MATCH($C34,Substances!$A$2:$A$60,0))="","",INDEX(Substances!$H$2:$H$60,MATCH($C34,Substances!$A$2:$A$60,0))),"—"))</f>
        <v/>
      </c>
      <c r="Z34" s="64" t="str">
        <f aca="false">IF($C34="","",IFERROR(IF(INDEX(Substances!$I$2:$I$60,MATCH($C34,Substances!$A$2:$A$60,0))="","",INDEX(Substances!$I$2:$I$60,MATCH($C34,Substances!$A$2:$A$60,0))),"—"))</f>
        <v/>
      </c>
      <c r="AA34" s="64" t="str">
        <f aca="false">IF($C34="","",IFERROR(IF(INDEX(Substances!$J$2:$J$60,MATCH($C34,Substances!$A$2:$A$60,0))="","",INDEX(Substances!$J$2:$J$60,MATCH($C34,Substances!$A$2:$A$60,0))),"—"))</f>
        <v/>
      </c>
      <c r="AB34" s="65" t="str">
        <f aca="false">IF($C34="","",IFERROR(IF(INDEX(Substances!$K$2:$K$60,MATCH($C34,Substances!$A$2:$A$60,0))="","",INDEX(Substances!$K$2:$K$60,MATCH($C34,Substances!$A$2:$A$60,0))),"—"))</f>
        <v/>
      </c>
      <c r="AC34" s="62" t="str">
        <f aca="false">IF($C34="","",IFERROR($U34/28.96,"—"))</f>
        <v/>
      </c>
      <c r="AD34" s="66" t="str">
        <f aca="false">IF($C34="","",IFERROR(N($G34)*100000+Tables!$B$4,"—"))</f>
        <v/>
      </c>
      <c r="AE34" s="67" t="str">
        <f aca="false">IF($C34="","",IFERROR($H34+273.15,"—"))</f>
        <v/>
      </c>
      <c r="AF34" s="67" t="str">
        <f aca="false">IF($C34="","",IFERROR($I34+273.15,"—"))</f>
        <v/>
      </c>
      <c r="AG34" s="66" t="str">
        <f aca="false">IF($C34="","",IFERROR(IF($D34="Gas/vapour jet",Tables!$B$4*(($W34+1)/2)^($W34/($W34-1)),"n/a"),"—"))</f>
        <v/>
      </c>
      <c r="AH34" s="68" t="str">
        <f aca="false">IF($C34="","",IFERROR(IF($D34="Gas/vapour jet",IF($AD34&gt;$AG34,"Choked","Subsonic"),"n/a"),"—"))</f>
        <v/>
      </c>
      <c r="AI34" s="69" t="str">
        <f aca="false">IF($C34="","",IFERROR(IF($D34="Gas/vapour jet","n/a",MIN(101.325,IF($P34&lt;&gt;"",$P34,IF(N(INDEX(Substances!$L$2:$L$60,MATCH($C34,Substances!$A$2:$A$60,0)))&lt;&gt;0,0.133322*10^(INDEX(Substances!$L$2:$L$60,MATCH($C34,Substances!$A$2:$A$60,0))-INDEX(Substances!$M$2:$M$60,MATCH($C34,Substances!$A$2:$A$60,0))/(INDEX(Substances!$N$2:$N$60,MATCH($C34,Substances!$A$2:$A$60,0))+$H34)),101.325*EXP(10.58*(1-($Y34+273.15)/$AE34)))))),"—"))</f>
        <v/>
      </c>
      <c r="AJ34" s="70" t="str">
        <f aca="false">IF($C34="","",IFERROR(IF($D34="Liquid jet",$K34*$J34*0.000001*SQRT(2*$X34*N($G34)*100000),"n/a"),"—"))</f>
        <v/>
      </c>
      <c r="AK34" s="71" t="str">
        <f aca="false">IF($C34="","",IFERROR(IF($D34="Gas/vapour jet",IF($AH34="Choked",$K34*$J34*0.000001*$AD34*SQRT($W34*$U34/($L34*Tables!$B$5*$AE34)*(2/($W34+1))^(($W34+1)/($W34-1))),$K34*$J34*0.000001*$AD34*SQRT($U34/($L34*Tables!$B$5*$AE34)*(2*$W34/($W34-1))*(1-(Tables!$B$4/$AD34)^(($W34-1)/$W34))*(Tables!$B$4/$AD34)^(2/$W34))),IF($D34="Liquid jet",$AJ34*IF($M34&lt;&gt;"",$M34,IF($H34&gt;=$Y34,1,0)),6.55*$O34^0.78*$N34*$AI34*$U34^0.667/(Tables!$B$5*$AE34))),"—"))</f>
        <v/>
      </c>
      <c r="AL34" s="72" t="str">
        <f aca="false">IF($C34="","",IFERROR(Tables!$B$10*$U34*$V34,"—"))</f>
        <v/>
      </c>
      <c r="AM34" s="69" t="str">
        <f aca="false">IF($C34="","",IFERROR(INDEX(Tables!$B$15:$B$17,MATCH($E34,Tables!$A$15:$A$17,0)),"—"))</f>
        <v/>
      </c>
      <c r="AN34" s="70" t="str">
        <f aca="false">IF($C34="","",IFERROR($AK34/($AM34*$AL34)*$AF34/Tables!$B$9,"—"))</f>
        <v/>
      </c>
      <c r="AO34" s="72" t="str">
        <f aca="false">IF($C34="","",IFERROR(IF($F34="Outdoor",Tables!$B$8,$R34/3600),"—"))</f>
        <v/>
      </c>
      <c r="AP34" s="73" t="str">
        <f aca="false">IF($C34="","",IFERROR($S34*$AN34/$AO34,"—"))</f>
        <v/>
      </c>
      <c r="AQ34" s="74" t="str">
        <f aca="false">IF($C34="","",IFERROR(IF($AP34&lt;Tables!$B$7,"High",IF($F34="Outdoor","Medium",IF($AP34&lt;$Q34,"Medium","Low"))),"—"))</f>
        <v/>
      </c>
      <c r="AR34" s="75" t="str">
        <f aca="false">IF($C34="","",IFERROR(-$S34/$AO34*LN($V34*$AM34/Tables!$B$6)/60,"—"))</f>
        <v/>
      </c>
      <c r="AS34" s="76" t="str">
        <f aca="false">IF($C34="","",IFERROR(INDEX(Tables!$B$22:$J$24,MATCH($E34,Tables!$A$22:$A$24,0),MATCH($AQ34&amp;"-"&amp;$T34,Tables!$B$21:$J$21,0)),"—"))</f>
        <v/>
      </c>
      <c r="AT34" s="77" t="str">
        <f aca="false">IF($C34="","",IFERROR((3*$AP34/(2*PI()))^(1/3),"—"))</f>
        <v/>
      </c>
      <c r="AU34" s="78" t="str">
        <f aca="false">IF($C34="","",IFERROR(IF(ISNUMBER(SEARCH("Zone 0",IFERROR(LEFT($AS34,FIND("(",$AS34)-1),$AS34))),"Ga",IF(ISNUMBER(SEARCH("Zone 1",IFERROR(LEFT($AS34,FIND("(",$AS34)-1),$AS34))),"Gb",IF(ISNUMBER(SEARCH("Zone 2",IFERROR(LEFT($AS34,FIND("(",$AS34)-1),$AS34))),"Gc","None required"))),"—"))</f>
        <v/>
      </c>
      <c r="AV34" s="74" t="str">
        <f aca="false">IF($C34="","",IFERROR(IF($AU34="None required","—",$AB34&amp;" "&amp;INDEX(Tables!$B$31:$B$37,MATCH($AA34-0.001,Tables!$A$31:$A$37,1))),"—"))</f>
        <v/>
      </c>
      <c r="AW34" s="79" t="str">
        <f aca="false">IF($C34="","",TRIM(IF(IF(ISNUMBER($Z34),$H34&lt;$Z34-5,FALSE()),"Handled &gt;5°C below flash point — may not need zoning (unless mist/spray). ","")&amp;IF(IF(AND($D34="Pool evaporation",ISNUMBER($Y34)),$H34&gt;=$Y34,FALSE()),"Liquid at/above boiling point — pool equation not valid, treat as gas release. ","")&amp;IF(IF(AND($D34="Liquid jet",$M34="",ISNUMBER($Y34)),$H34&lt;$Y34,FALSE()),"Non-flashing liquid: vapour rate set to 0 — model the resulting pool on its own row. ","")&amp;IF(AND($D34="Gas/vapour jet",NOT(ISNUMBER($W34))),"No γ in library for this substance. ","")&amp;IF(IF(ISNUMBER($AC34),$AC34&gt;1.2,FALSE()),"Heavier than air — extend zone at low level / into pits and drains. ","")&amp;IF($AQ34="Low","Vz ≥ V0: ventilation cannot control the release — whole room affected. ","")&amp;IF(AND($F34="Indoor",OR($Q34="",$R34="")),"Indoor: enter room volume and air changes. ","")))</f>
        <v/>
      </c>
    </row>
    <row r="35" customFormat="false" ht="15" hidden="false" customHeight="false" outlineLevel="0" collapsed="false">
      <c r="A35" s="56"/>
      <c r="B35" s="57"/>
      <c r="C35" s="56"/>
      <c r="D35" s="56"/>
      <c r="E35" s="56"/>
      <c r="F35" s="56"/>
      <c r="G35" s="58"/>
      <c r="H35" s="59"/>
      <c r="I35" s="59"/>
      <c r="J35" s="60"/>
      <c r="K35" s="58"/>
      <c r="L35" s="58"/>
      <c r="M35" s="58"/>
      <c r="N35" s="58"/>
      <c r="O35" s="58"/>
      <c r="P35" s="58"/>
      <c r="Q35" s="61"/>
      <c r="R35" s="59"/>
      <c r="S35" s="59"/>
      <c r="T35" s="56"/>
      <c r="U35" s="62" t="str">
        <f aca="false">IF($C35="","",IFERROR(IF(INDEX(Substances!$C$2:$C$60,MATCH($C35,Substances!$A$2:$A$60,0))="","",INDEX(Substances!$C$2:$C$60,MATCH($C35,Substances!$A$2:$A$60,0))),"—"))</f>
        <v/>
      </c>
      <c r="V35" s="63" t="str">
        <f aca="false">IF($C35="","",IFERROR(IF(INDEX(Substances!$D$2:$D$60,MATCH($C35,Substances!$A$2:$A$60,0))="","",INDEX(Substances!$D$2:$D$60,MATCH($C35,Substances!$A$2:$A$60,0))),"—"))</f>
        <v/>
      </c>
      <c r="W35" s="62" t="str">
        <f aca="false">IF($C35="","",IFERROR(IF(INDEX(Substances!$F$2:$F$60,MATCH($C35,Substances!$A$2:$A$60,0))="","",INDEX(Substances!$F$2:$F$60,MATCH($C35,Substances!$A$2:$A$60,0))),"—"))</f>
        <v/>
      </c>
      <c r="X35" s="64" t="str">
        <f aca="false">IF($C35="","",IFERROR(IF(INDEX(Substances!$G$2:$G$60,MATCH($C35,Substances!$A$2:$A$60,0))="","",INDEX(Substances!$G$2:$G$60,MATCH($C35,Substances!$A$2:$A$60,0))),"—"))</f>
        <v/>
      </c>
      <c r="Y35" s="63" t="str">
        <f aca="false">IF($C35="","",IFERROR(IF(INDEX(Substances!$H$2:$H$60,MATCH($C35,Substances!$A$2:$A$60,0))="","",INDEX(Substances!$H$2:$H$60,MATCH($C35,Substances!$A$2:$A$60,0))),"—"))</f>
        <v/>
      </c>
      <c r="Z35" s="64" t="str">
        <f aca="false">IF($C35="","",IFERROR(IF(INDEX(Substances!$I$2:$I$60,MATCH($C35,Substances!$A$2:$A$60,0))="","",INDEX(Substances!$I$2:$I$60,MATCH($C35,Substances!$A$2:$A$60,0))),"—"))</f>
        <v/>
      </c>
      <c r="AA35" s="64" t="str">
        <f aca="false">IF($C35="","",IFERROR(IF(INDEX(Substances!$J$2:$J$60,MATCH($C35,Substances!$A$2:$A$60,0))="","",INDEX(Substances!$J$2:$J$60,MATCH($C35,Substances!$A$2:$A$60,0))),"—"))</f>
        <v/>
      </c>
      <c r="AB35" s="65" t="str">
        <f aca="false">IF($C35="","",IFERROR(IF(INDEX(Substances!$K$2:$K$60,MATCH($C35,Substances!$A$2:$A$60,0))="","",INDEX(Substances!$K$2:$K$60,MATCH($C35,Substances!$A$2:$A$60,0))),"—"))</f>
        <v/>
      </c>
      <c r="AC35" s="62" t="str">
        <f aca="false">IF($C35="","",IFERROR($U35/28.96,"—"))</f>
        <v/>
      </c>
      <c r="AD35" s="66" t="str">
        <f aca="false">IF($C35="","",IFERROR(N($G35)*100000+Tables!$B$4,"—"))</f>
        <v/>
      </c>
      <c r="AE35" s="67" t="str">
        <f aca="false">IF($C35="","",IFERROR($H35+273.15,"—"))</f>
        <v/>
      </c>
      <c r="AF35" s="67" t="str">
        <f aca="false">IF($C35="","",IFERROR($I35+273.15,"—"))</f>
        <v/>
      </c>
      <c r="AG35" s="66" t="str">
        <f aca="false">IF($C35="","",IFERROR(IF($D35="Gas/vapour jet",Tables!$B$4*(($W35+1)/2)^($W35/($W35-1)),"n/a"),"—"))</f>
        <v/>
      </c>
      <c r="AH35" s="68" t="str">
        <f aca="false">IF($C35="","",IFERROR(IF($D35="Gas/vapour jet",IF($AD35&gt;$AG35,"Choked","Subsonic"),"n/a"),"—"))</f>
        <v/>
      </c>
      <c r="AI35" s="69" t="str">
        <f aca="false">IF($C35="","",IFERROR(IF($D35="Gas/vapour jet","n/a",MIN(101.325,IF($P35&lt;&gt;"",$P35,IF(N(INDEX(Substances!$L$2:$L$60,MATCH($C35,Substances!$A$2:$A$60,0)))&lt;&gt;0,0.133322*10^(INDEX(Substances!$L$2:$L$60,MATCH($C35,Substances!$A$2:$A$60,0))-INDEX(Substances!$M$2:$M$60,MATCH($C35,Substances!$A$2:$A$60,0))/(INDEX(Substances!$N$2:$N$60,MATCH($C35,Substances!$A$2:$A$60,0))+$H35)),101.325*EXP(10.58*(1-($Y35+273.15)/$AE35)))))),"—"))</f>
        <v/>
      </c>
      <c r="AJ35" s="70" t="str">
        <f aca="false">IF($C35="","",IFERROR(IF($D35="Liquid jet",$K35*$J35*0.000001*SQRT(2*$X35*N($G35)*100000),"n/a"),"—"))</f>
        <v/>
      </c>
      <c r="AK35" s="71" t="str">
        <f aca="false">IF($C35="","",IFERROR(IF($D35="Gas/vapour jet",IF($AH35="Choked",$K35*$J35*0.000001*$AD35*SQRT($W35*$U35/($L35*Tables!$B$5*$AE35)*(2/($W35+1))^(($W35+1)/($W35-1))),$K35*$J35*0.000001*$AD35*SQRT($U35/($L35*Tables!$B$5*$AE35)*(2*$W35/($W35-1))*(1-(Tables!$B$4/$AD35)^(($W35-1)/$W35))*(Tables!$B$4/$AD35)^(2/$W35))),IF($D35="Liquid jet",$AJ35*IF($M35&lt;&gt;"",$M35,IF($H35&gt;=$Y35,1,0)),6.55*$O35^0.78*$N35*$AI35*$U35^0.667/(Tables!$B$5*$AE35))),"—"))</f>
        <v/>
      </c>
      <c r="AL35" s="72" t="str">
        <f aca="false">IF($C35="","",IFERROR(Tables!$B$10*$U35*$V35,"—"))</f>
        <v/>
      </c>
      <c r="AM35" s="69" t="str">
        <f aca="false">IF($C35="","",IFERROR(INDEX(Tables!$B$15:$B$17,MATCH($E35,Tables!$A$15:$A$17,0)),"—"))</f>
        <v/>
      </c>
      <c r="AN35" s="70" t="str">
        <f aca="false">IF($C35="","",IFERROR($AK35/($AM35*$AL35)*$AF35/Tables!$B$9,"—"))</f>
        <v/>
      </c>
      <c r="AO35" s="72" t="str">
        <f aca="false">IF($C35="","",IFERROR(IF($F35="Outdoor",Tables!$B$8,$R35/3600),"—"))</f>
        <v/>
      </c>
      <c r="AP35" s="73" t="str">
        <f aca="false">IF($C35="","",IFERROR($S35*$AN35/$AO35,"—"))</f>
        <v/>
      </c>
      <c r="AQ35" s="74" t="str">
        <f aca="false">IF($C35="","",IFERROR(IF($AP35&lt;Tables!$B$7,"High",IF($F35="Outdoor","Medium",IF($AP35&lt;$Q35,"Medium","Low"))),"—"))</f>
        <v/>
      </c>
      <c r="AR35" s="75" t="str">
        <f aca="false">IF($C35="","",IFERROR(-$S35/$AO35*LN($V35*$AM35/Tables!$B$6)/60,"—"))</f>
        <v/>
      </c>
      <c r="AS35" s="76" t="str">
        <f aca="false">IF($C35="","",IFERROR(INDEX(Tables!$B$22:$J$24,MATCH($E35,Tables!$A$22:$A$24,0),MATCH($AQ35&amp;"-"&amp;$T35,Tables!$B$21:$J$21,0)),"—"))</f>
        <v/>
      </c>
      <c r="AT35" s="77" t="str">
        <f aca="false">IF($C35="","",IFERROR((3*$AP35/(2*PI()))^(1/3),"—"))</f>
        <v/>
      </c>
      <c r="AU35" s="78" t="str">
        <f aca="false">IF($C35="","",IFERROR(IF(ISNUMBER(SEARCH("Zone 0",IFERROR(LEFT($AS35,FIND("(",$AS35)-1),$AS35))),"Ga",IF(ISNUMBER(SEARCH("Zone 1",IFERROR(LEFT($AS35,FIND("(",$AS35)-1),$AS35))),"Gb",IF(ISNUMBER(SEARCH("Zone 2",IFERROR(LEFT($AS35,FIND("(",$AS35)-1),$AS35))),"Gc","None required"))),"—"))</f>
        <v/>
      </c>
      <c r="AV35" s="74" t="str">
        <f aca="false">IF($C35="","",IFERROR(IF($AU35="None required","—",$AB35&amp;" "&amp;INDEX(Tables!$B$31:$B$37,MATCH($AA35-0.001,Tables!$A$31:$A$37,1))),"—"))</f>
        <v/>
      </c>
      <c r="AW35" s="79" t="str">
        <f aca="false">IF($C35="","",TRIM(IF(IF(ISNUMBER($Z35),$H35&lt;$Z35-5,FALSE()),"Handled &gt;5°C below flash point — may not need zoning (unless mist/spray). ","")&amp;IF(IF(AND($D35="Pool evaporation",ISNUMBER($Y35)),$H35&gt;=$Y35,FALSE()),"Liquid at/above boiling point — pool equation not valid, treat as gas release. ","")&amp;IF(IF(AND($D35="Liquid jet",$M35="",ISNUMBER($Y35)),$H35&lt;$Y35,FALSE()),"Non-flashing liquid: vapour rate set to 0 — model the resulting pool on its own row. ","")&amp;IF(AND($D35="Gas/vapour jet",NOT(ISNUMBER($W35))),"No γ in library for this substance. ","")&amp;IF(IF(ISNUMBER($AC35),$AC35&gt;1.2,FALSE()),"Heavier than air — extend zone at low level / into pits and drains. ","")&amp;IF($AQ35="Low","Vz ≥ V0: ventilation cannot control the release — whole room affected. ","")&amp;IF(AND($F35="Indoor",OR($Q35="",$R35="")),"Indoor: enter room volume and air changes. ","")))</f>
        <v/>
      </c>
    </row>
    <row r="36" customFormat="false" ht="15" hidden="false" customHeight="false" outlineLevel="0" collapsed="false">
      <c r="A36" s="56"/>
      <c r="B36" s="57"/>
      <c r="C36" s="56"/>
      <c r="D36" s="56"/>
      <c r="E36" s="56"/>
      <c r="F36" s="56"/>
      <c r="G36" s="58"/>
      <c r="H36" s="59"/>
      <c r="I36" s="59"/>
      <c r="J36" s="60"/>
      <c r="K36" s="58"/>
      <c r="L36" s="58"/>
      <c r="M36" s="58"/>
      <c r="N36" s="58"/>
      <c r="O36" s="58"/>
      <c r="P36" s="58"/>
      <c r="Q36" s="61"/>
      <c r="R36" s="59"/>
      <c r="S36" s="59"/>
      <c r="T36" s="56"/>
      <c r="U36" s="62" t="str">
        <f aca="false">IF($C36="","",IFERROR(IF(INDEX(Substances!$C$2:$C$60,MATCH($C36,Substances!$A$2:$A$60,0))="","",INDEX(Substances!$C$2:$C$60,MATCH($C36,Substances!$A$2:$A$60,0))),"—"))</f>
        <v/>
      </c>
      <c r="V36" s="63" t="str">
        <f aca="false">IF($C36="","",IFERROR(IF(INDEX(Substances!$D$2:$D$60,MATCH($C36,Substances!$A$2:$A$60,0))="","",INDEX(Substances!$D$2:$D$60,MATCH($C36,Substances!$A$2:$A$60,0))),"—"))</f>
        <v/>
      </c>
      <c r="W36" s="62" t="str">
        <f aca="false">IF($C36="","",IFERROR(IF(INDEX(Substances!$F$2:$F$60,MATCH($C36,Substances!$A$2:$A$60,0))="","",INDEX(Substances!$F$2:$F$60,MATCH($C36,Substances!$A$2:$A$60,0))),"—"))</f>
        <v/>
      </c>
      <c r="X36" s="64" t="str">
        <f aca="false">IF($C36="","",IFERROR(IF(INDEX(Substances!$G$2:$G$60,MATCH($C36,Substances!$A$2:$A$60,0))="","",INDEX(Substances!$G$2:$G$60,MATCH($C36,Substances!$A$2:$A$60,0))),"—"))</f>
        <v/>
      </c>
      <c r="Y36" s="63" t="str">
        <f aca="false">IF($C36="","",IFERROR(IF(INDEX(Substances!$H$2:$H$60,MATCH($C36,Substances!$A$2:$A$60,0))="","",INDEX(Substances!$H$2:$H$60,MATCH($C36,Substances!$A$2:$A$60,0))),"—"))</f>
        <v/>
      </c>
      <c r="Z36" s="64" t="str">
        <f aca="false">IF($C36="","",IFERROR(IF(INDEX(Substances!$I$2:$I$60,MATCH($C36,Substances!$A$2:$A$60,0))="","",INDEX(Substances!$I$2:$I$60,MATCH($C36,Substances!$A$2:$A$60,0))),"—"))</f>
        <v/>
      </c>
      <c r="AA36" s="64" t="str">
        <f aca="false">IF($C36="","",IFERROR(IF(INDEX(Substances!$J$2:$J$60,MATCH($C36,Substances!$A$2:$A$60,0))="","",INDEX(Substances!$J$2:$J$60,MATCH($C36,Substances!$A$2:$A$60,0))),"—"))</f>
        <v/>
      </c>
      <c r="AB36" s="65" t="str">
        <f aca="false">IF($C36="","",IFERROR(IF(INDEX(Substances!$K$2:$K$60,MATCH($C36,Substances!$A$2:$A$60,0))="","",INDEX(Substances!$K$2:$K$60,MATCH($C36,Substances!$A$2:$A$60,0))),"—"))</f>
        <v/>
      </c>
      <c r="AC36" s="62" t="str">
        <f aca="false">IF($C36="","",IFERROR($U36/28.96,"—"))</f>
        <v/>
      </c>
      <c r="AD36" s="66" t="str">
        <f aca="false">IF($C36="","",IFERROR(N($G36)*100000+Tables!$B$4,"—"))</f>
        <v/>
      </c>
      <c r="AE36" s="67" t="str">
        <f aca="false">IF($C36="","",IFERROR($H36+273.15,"—"))</f>
        <v/>
      </c>
      <c r="AF36" s="67" t="str">
        <f aca="false">IF($C36="","",IFERROR($I36+273.15,"—"))</f>
        <v/>
      </c>
      <c r="AG36" s="66" t="str">
        <f aca="false">IF($C36="","",IFERROR(IF($D36="Gas/vapour jet",Tables!$B$4*(($W36+1)/2)^($W36/($W36-1)),"n/a"),"—"))</f>
        <v/>
      </c>
      <c r="AH36" s="68" t="str">
        <f aca="false">IF($C36="","",IFERROR(IF($D36="Gas/vapour jet",IF($AD36&gt;$AG36,"Choked","Subsonic"),"n/a"),"—"))</f>
        <v/>
      </c>
      <c r="AI36" s="69" t="str">
        <f aca="false">IF($C36="","",IFERROR(IF($D36="Gas/vapour jet","n/a",MIN(101.325,IF($P36&lt;&gt;"",$P36,IF(N(INDEX(Substances!$L$2:$L$60,MATCH($C36,Substances!$A$2:$A$60,0)))&lt;&gt;0,0.133322*10^(INDEX(Substances!$L$2:$L$60,MATCH($C36,Substances!$A$2:$A$60,0))-INDEX(Substances!$M$2:$M$60,MATCH($C36,Substances!$A$2:$A$60,0))/(INDEX(Substances!$N$2:$N$60,MATCH($C36,Substances!$A$2:$A$60,0))+$H36)),101.325*EXP(10.58*(1-($Y36+273.15)/$AE36)))))),"—"))</f>
        <v/>
      </c>
      <c r="AJ36" s="70" t="str">
        <f aca="false">IF($C36="","",IFERROR(IF($D36="Liquid jet",$K36*$J36*0.000001*SQRT(2*$X36*N($G36)*100000),"n/a"),"—"))</f>
        <v/>
      </c>
      <c r="AK36" s="71" t="str">
        <f aca="false">IF($C36="","",IFERROR(IF($D36="Gas/vapour jet",IF($AH36="Choked",$K36*$J36*0.000001*$AD36*SQRT($W36*$U36/($L36*Tables!$B$5*$AE36)*(2/($W36+1))^(($W36+1)/($W36-1))),$K36*$J36*0.000001*$AD36*SQRT($U36/($L36*Tables!$B$5*$AE36)*(2*$W36/($W36-1))*(1-(Tables!$B$4/$AD36)^(($W36-1)/$W36))*(Tables!$B$4/$AD36)^(2/$W36))),IF($D36="Liquid jet",$AJ36*IF($M36&lt;&gt;"",$M36,IF($H36&gt;=$Y36,1,0)),6.55*$O36^0.78*$N36*$AI36*$U36^0.667/(Tables!$B$5*$AE36))),"—"))</f>
        <v/>
      </c>
      <c r="AL36" s="72" t="str">
        <f aca="false">IF($C36="","",IFERROR(Tables!$B$10*$U36*$V36,"—"))</f>
        <v/>
      </c>
      <c r="AM36" s="69" t="str">
        <f aca="false">IF($C36="","",IFERROR(INDEX(Tables!$B$15:$B$17,MATCH($E36,Tables!$A$15:$A$17,0)),"—"))</f>
        <v/>
      </c>
      <c r="AN36" s="70" t="str">
        <f aca="false">IF($C36="","",IFERROR($AK36/($AM36*$AL36)*$AF36/Tables!$B$9,"—"))</f>
        <v/>
      </c>
      <c r="AO36" s="72" t="str">
        <f aca="false">IF($C36="","",IFERROR(IF($F36="Outdoor",Tables!$B$8,$R36/3600),"—"))</f>
        <v/>
      </c>
      <c r="AP36" s="73" t="str">
        <f aca="false">IF($C36="","",IFERROR($S36*$AN36/$AO36,"—"))</f>
        <v/>
      </c>
      <c r="AQ36" s="74" t="str">
        <f aca="false">IF($C36="","",IFERROR(IF($AP36&lt;Tables!$B$7,"High",IF($F36="Outdoor","Medium",IF($AP36&lt;$Q36,"Medium","Low"))),"—"))</f>
        <v/>
      </c>
      <c r="AR36" s="75" t="str">
        <f aca="false">IF($C36="","",IFERROR(-$S36/$AO36*LN($V36*$AM36/Tables!$B$6)/60,"—"))</f>
        <v/>
      </c>
      <c r="AS36" s="76" t="str">
        <f aca="false">IF($C36="","",IFERROR(INDEX(Tables!$B$22:$J$24,MATCH($E36,Tables!$A$22:$A$24,0),MATCH($AQ36&amp;"-"&amp;$T36,Tables!$B$21:$J$21,0)),"—"))</f>
        <v/>
      </c>
      <c r="AT36" s="77" t="str">
        <f aca="false">IF($C36="","",IFERROR((3*$AP36/(2*PI()))^(1/3),"—"))</f>
        <v/>
      </c>
      <c r="AU36" s="78" t="str">
        <f aca="false">IF($C36="","",IFERROR(IF(ISNUMBER(SEARCH("Zone 0",IFERROR(LEFT($AS36,FIND("(",$AS36)-1),$AS36))),"Ga",IF(ISNUMBER(SEARCH("Zone 1",IFERROR(LEFT($AS36,FIND("(",$AS36)-1),$AS36))),"Gb",IF(ISNUMBER(SEARCH("Zone 2",IFERROR(LEFT($AS36,FIND("(",$AS36)-1),$AS36))),"Gc","None required"))),"—"))</f>
        <v/>
      </c>
      <c r="AV36" s="74" t="str">
        <f aca="false">IF($C36="","",IFERROR(IF($AU36="None required","—",$AB36&amp;" "&amp;INDEX(Tables!$B$31:$B$37,MATCH($AA36-0.001,Tables!$A$31:$A$37,1))),"—"))</f>
        <v/>
      </c>
      <c r="AW36" s="79" t="str">
        <f aca="false">IF($C36="","",TRIM(IF(IF(ISNUMBER($Z36),$H36&lt;$Z36-5,FALSE()),"Handled &gt;5°C below flash point — may not need zoning (unless mist/spray). ","")&amp;IF(IF(AND($D36="Pool evaporation",ISNUMBER($Y36)),$H36&gt;=$Y36,FALSE()),"Liquid at/above boiling point — pool equation not valid, treat as gas release. ","")&amp;IF(IF(AND($D36="Liquid jet",$M36="",ISNUMBER($Y36)),$H36&lt;$Y36,FALSE()),"Non-flashing liquid: vapour rate set to 0 — model the resulting pool on its own row. ","")&amp;IF(AND($D36="Gas/vapour jet",NOT(ISNUMBER($W36))),"No γ in library for this substance. ","")&amp;IF(IF(ISNUMBER($AC36),$AC36&gt;1.2,FALSE()),"Heavier than air — extend zone at low level / into pits and drains. ","")&amp;IF($AQ36="Low","Vz ≥ V0: ventilation cannot control the release — whole room affected. ","")&amp;IF(AND($F36="Indoor",OR($Q36="",$R36="")),"Indoor: enter room volume and air changes. ","")))</f>
        <v/>
      </c>
    </row>
    <row r="37" customFormat="false" ht="15" hidden="false" customHeight="false" outlineLevel="0" collapsed="false">
      <c r="A37" s="56"/>
      <c r="B37" s="57"/>
      <c r="C37" s="56"/>
      <c r="D37" s="56"/>
      <c r="E37" s="56"/>
      <c r="F37" s="56"/>
      <c r="G37" s="58"/>
      <c r="H37" s="59"/>
      <c r="I37" s="59"/>
      <c r="J37" s="60"/>
      <c r="K37" s="58"/>
      <c r="L37" s="58"/>
      <c r="M37" s="58"/>
      <c r="N37" s="58"/>
      <c r="O37" s="58"/>
      <c r="P37" s="58"/>
      <c r="Q37" s="61"/>
      <c r="R37" s="59"/>
      <c r="S37" s="59"/>
      <c r="T37" s="56"/>
      <c r="U37" s="62" t="str">
        <f aca="false">IF($C37="","",IFERROR(IF(INDEX(Substances!$C$2:$C$60,MATCH($C37,Substances!$A$2:$A$60,0))="","",INDEX(Substances!$C$2:$C$60,MATCH($C37,Substances!$A$2:$A$60,0))),"—"))</f>
        <v/>
      </c>
      <c r="V37" s="63" t="str">
        <f aca="false">IF($C37="","",IFERROR(IF(INDEX(Substances!$D$2:$D$60,MATCH($C37,Substances!$A$2:$A$60,0))="","",INDEX(Substances!$D$2:$D$60,MATCH($C37,Substances!$A$2:$A$60,0))),"—"))</f>
        <v/>
      </c>
      <c r="W37" s="62" t="str">
        <f aca="false">IF($C37="","",IFERROR(IF(INDEX(Substances!$F$2:$F$60,MATCH($C37,Substances!$A$2:$A$60,0))="","",INDEX(Substances!$F$2:$F$60,MATCH($C37,Substances!$A$2:$A$60,0))),"—"))</f>
        <v/>
      </c>
      <c r="X37" s="64" t="str">
        <f aca="false">IF($C37="","",IFERROR(IF(INDEX(Substances!$G$2:$G$60,MATCH($C37,Substances!$A$2:$A$60,0))="","",INDEX(Substances!$G$2:$G$60,MATCH($C37,Substances!$A$2:$A$60,0))),"—"))</f>
        <v/>
      </c>
      <c r="Y37" s="63" t="str">
        <f aca="false">IF($C37="","",IFERROR(IF(INDEX(Substances!$H$2:$H$60,MATCH($C37,Substances!$A$2:$A$60,0))="","",INDEX(Substances!$H$2:$H$60,MATCH($C37,Substances!$A$2:$A$60,0))),"—"))</f>
        <v/>
      </c>
      <c r="Z37" s="64" t="str">
        <f aca="false">IF($C37="","",IFERROR(IF(INDEX(Substances!$I$2:$I$60,MATCH($C37,Substances!$A$2:$A$60,0))="","",INDEX(Substances!$I$2:$I$60,MATCH($C37,Substances!$A$2:$A$60,0))),"—"))</f>
        <v/>
      </c>
      <c r="AA37" s="64" t="str">
        <f aca="false">IF($C37="","",IFERROR(IF(INDEX(Substances!$J$2:$J$60,MATCH($C37,Substances!$A$2:$A$60,0))="","",INDEX(Substances!$J$2:$J$60,MATCH($C37,Substances!$A$2:$A$60,0))),"—"))</f>
        <v/>
      </c>
      <c r="AB37" s="65" t="str">
        <f aca="false">IF($C37="","",IFERROR(IF(INDEX(Substances!$K$2:$K$60,MATCH($C37,Substances!$A$2:$A$60,0))="","",INDEX(Substances!$K$2:$K$60,MATCH($C37,Substances!$A$2:$A$60,0))),"—"))</f>
        <v/>
      </c>
      <c r="AC37" s="62" t="str">
        <f aca="false">IF($C37="","",IFERROR($U37/28.96,"—"))</f>
        <v/>
      </c>
      <c r="AD37" s="66" t="str">
        <f aca="false">IF($C37="","",IFERROR(N($G37)*100000+Tables!$B$4,"—"))</f>
        <v/>
      </c>
      <c r="AE37" s="67" t="str">
        <f aca="false">IF($C37="","",IFERROR($H37+273.15,"—"))</f>
        <v/>
      </c>
      <c r="AF37" s="67" t="str">
        <f aca="false">IF($C37="","",IFERROR($I37+273.15,"—"))</f>
        <v/>
      </c>
      <c r="AG37" s="66" t="str">
        <f aca="false">IF($C37="","",IFERROR(IF($D37="Gas/vapour jet",Tables!$B$4*(($W37+1)/2)^($W37/($W37-1)),"n/a"),"—"))</f>
        <v/>
      </c>
      <c r="AH37" s="68" t="str">
        <f aca="false">IF($C37="","",IFERROR(IF($D37="Gas/vapour jet",IF($AD37&gt;$AG37,"Choked","Subsonic"),"n/a"),"—"))</f>
        <v/>
      </c>
      <c r="AI37" s="69" t="str">
        <f aca="false">IF($C37="","",IFERROR(IF($D37="Gas/vapour jet","n/a",MIN(101.325,IF($P37&lt;&gt;"",$P37,IF(N(INDEX(Substances!$L$2:$L$60,MATCH($C37,Substances!$A$2:$A$60,0)))&lt;&gt;0,0.133322*10^(INDEX(Substances!$L$2:$L$60,MATCH($C37,Substances!$A$2:$A$60,0))-INDEX(Substances!$M$2:$M$60,MATCH($C37,Substances!$A$2:$A$60,0))/(INDEX(Substances!$N$2:$N$60,MATCH($C37,Substances!$A$2:$A$60,0))+$H37)),101.325*EXP(10.58*(1-($Y37+273.15)/$AE37)))))),"—"))</f>
        <v/>
      </c>
      <c r="AJ37" s="70" t="str">
        <f aca="false">IF($C37="","",IFERROR(IF($D37="Liquid jet",$K37*$J37*0.000001*SQRT(2*$X37*N($G37)*100000),"n/a"),"—"))</f>
        <v/>
      </c>
      <c r="AK37" s="71" t="str">
        <f aca="false">IF($C37="","",IFERROR(IF($D37="Gas/vapour jet",IF($AH37="Choked",$K37*$J37*0.000001*$AD37*SQRT($W37*$U37/($L37*Tables!$B$5*$AE37)*(2/($W37+1))^(($W37+1)/($W37-1))),$K37*$J37*0.000001*$AD37*SQRT($U37/($L37*Tables!$B$5*$AE37)*(2*$W37/($W37-1))*(1-(Tables!$B$4/$AD37)^(($W37-1)/$W37))*(Tables!$B$4/$AD37)^(2/$W37))),IF($D37="Liquid jet",$AJ37*IF($M37&lt;&gt;"",$M37,IF($H37&gt;=$Y37,1,0)),6.55*$O37^0.78*$N37*$AI37*$U37^0.667/(Tables!$B$5*$AE37))),"—"))</f>
        <v/>
      </c>
      <c r="AL37" s="72" t="str">
        <f aca="false">IF($C37="","",IFERROR(Tables!$B$10*$U37*$V37,"—"))</f>
        <v/>
      </c>
      <c r="AM37" s="69" t="str">
        <f aca="false">IF($C37="","",IFERROR(INDEX(Tables!$B$15:$B$17,MATCH($E37,Tables!$A$15:$A$17,0)),"—"))</f>
        <v/>
      </c>
      <c r="AN37" s="70" t="str">
        <f aca="false">IF($C37="","",IFERROR($AK37/($AM37*$AL37)*$AF37/Tables!$B$9,"—"))</f>
        <v/>
      </c>
      <c r="AO37" s="72" t="str">
        <f aca="false">IF($C37="","",IFERROR(IF($F37="Outdoor",Tables!$B$8,$R37/3600),"—"))</f>
        <v/>
      </c>
      <c r="AP37" s="73" t="str">
        <f aca="false">IF($C37="","",IFERROR($S37*$AN37/$AO37,"—"))</f>
        <v/>
      </c>
      <c r="AQ37" s="74" t="str">
        <f aca="false">IF($C37="","",IFERROR(IF($AP37&lt;Tables!$B$7,"High",IF($F37="Outdoor","Medium",IF($AP37&lt;$Q37,"Medium","Low"))),"—"))</f>
        <v/>
      </c>
      <c r="AR37" s="75" t="str">
        <f aca="false">IF($C37="","",IFERROR(-$S37/$AO37*LN($V37*$AM37/Tables!$B$6)/60,"—"))</f>
        <v/>
      </c>
      <c r="AS37" s="76" t="str">
        <f aca="false">IF($C37="","",IFERROR(INDEX(Tables!$B$22:$J$24,MATCH($E37,Tables!$A$22:$A$24,0),MATCH($AQ37&amp;"-"&amp;$T37,Tables!$B$21:$J$21,0)),"—"))</f>
        <v/>
      </c>
      <c r="AT37" s="77" t="str">
        <f aca="false">IF($C37="","",IFERROR((3*$AP37/(2*PI()))^(1/3),"—"))</f>
        <v/>
      </c>
      <c r="AU37" s="78" t="str">
        <f aca="false">IF($C37="","",IFERROR(IF(ISNUMBER(SEARCH("Zone 0",IFERROR(LEFT($AS37,FIND("(",$AS37)-1),$AS37))),"Ga",IF(ISNUMBER(SEARCH("Zone 1",IFERROR(LEFT($AS37,FIND("(",$AS37)-1),$AS37))),"Gb",IF(ISNUMBER(SEARCH("Zone 2",IFERROR(LEFT($AS37,FIND("(",$AS37)-1),$AS37))),"Gc","None required"))),"—"))</f>
        <v/>
      </c>
      <c r="AV37" s="74" t="str">
        <f aca="false">IF($C37="","",IFERROR(IF($AU37="None required","—",$AB37&amp;" "&amp;INDEX(Tables!$B$31:$B$37,MATCH($AA37-0.001,Tables!$A$31:$A$37,1))),"—"))</f>
        <v/>
      </c>
      <c r="AW37" s="79" t="str">
        <f aca="false">IF($C37="","",TRIM(IF(IF(ISNUMBER($Z37),$H37&lt;$Z37-5,FALSE()),"Handled &gt;5°C below flash point — may not need zoning (unless mist/spray). ","")&amp;IF(IF(AND($D37="Pool evaporation",ISNUMBER($Y37)),$H37&gt;=$Y37,FALSE()),"Liquid at/above boiling point — pool equation not valid, treat as gas release. ","")&amp;IF(IF(AND($D37="Liquid jet",$M37="",ISNUMBER($Y37)),$H37&lt;$Y37,FALSE()),"Non-flashing liquid: vapour rate set to 0 — model the resulting pool on its own row. ","")&amp;IF(AND($D37="Gas/vapour jet",NOT(ISNUMBER($W37))),"No γ in library for this substance. ","")&amp;IF(IF(ISNUMBER($AC37),$AC37&gt;1.2,FALSE()),"Heavier than air — extend zone at low level / into pits and drains. ","")&amp;IF($AQ37="Low","Vz ≥ V0: ventilation cannot control the release — whole room affected. ","")&amp;IF(AND($F37="Indoor",OR($Q37="",$R37="")),"Indoor: enter room volume and air changes. ","")))</f>
        <v/>
      </c>
    </row>
    <row r="38" customFormat="false" ht="15" hidden="false" customHeight="false" outlineLevel="0" collapsed="false">
      <c r="A38" s="56"/>
      <c r="B38" s="57"/>
      <c r="C38" s="56"/>
      <c r="D38" s="56"/>
      <c r="E38" s="56"/>
      <c r="F38" s="56"/>
      <c r="G38" s="58"/>
      <c r="H38" s="59"/>
      <c r="I38" s="59"/>
      <c r="J38" s="60"/>
      <c r="K38" s="58"/>
      <c r="L38" s="58"/>
      <c r="M38" s="58"/>
      <c r="N38" s="58"/>
      <c r="O38" s="58"/>
      <c r="P38" s="58"/>
      <c r="Q38" s="61"/>
      <c r="R38" s="59"/>
      <c r="S38" s="59"/>
      <c r="T38" s="56"/>
      <c r="U38" s="62" t="str">
        <f aca="false">IF($C38="","",IFERROR(IF(INDEX(Substances!$C$2:$C$60,MATCH($C38,Substances!$A$2:$A$60,0))="","",INDEX(Substances!$C$2:$C$60,MATCH($C38,Substances!$A$2:$A$60,0))),"—"))</f>
        <v/>
      </c>
      <c r="V38" s="63" t="str">
        <f aca="false">IF($C38="","",IFERROR(IF(INDEX(Substances!$D$2:$D$60,MATCH($C38,Substances!$A$2:$A$60,0))="","",INDEX(Substances!$D$2:$D$60,MATCH($C38,Substances!$A$2:$A$60,0))),"—"))</f>
        <v/>
      </c>
      <c r="W38" s="62" t="str">
        <f aca="false">IF($C38="","",IFERROR(IF(INDEX(Substances!$F$2:$F$60,MATCH($C38,Substances!$A$2:$A$60,0))="","",INDEX(Substances!$F$2:$F$60,MATCH($C38,Substances!$A$2:$A$60,0))),"—"))</f>
        <v/>
      </c>
      <c r="X38" s="64" t="str">
        <f aca="false">IF($C38="","",IFERROR(IF(INDEX(Substances!$G$2:$G$60,MATCH($C38,Substances!$A$2:$A$60,0))="","",INDEX(Substances!$G$2:$G$60,MATCH($C38,Substances!$A$2:$A$60,0))),"—"))</f>
        <v/>
      </c>
      <c r="Y38" s="63" t="str">
        <f aca="false">IF($C38="","",IFERROR(IF(INDEX(Substances!$H$2:$H$60,MATCH($C38,Substances!$A$2:$A$60,0))="","",INDEX(Substances!$H$2:$H$60,MATCH($C38,Substances!$A$2:$A$60,0))),"—"))</f>
        <v/>
      </c>
      <c r="Z38" s="64" t="str">
        <f aca="false">IF($C38="","",IFERROR(IF(INDEX(Substances!$I$2:$I$60,MATCH($C38,Substances!$A$2:$A$60,0))="","",INDEX(Substances!$I$2:$I$60,MATCH($C38,Substances!$A$2:$A$60,0))),"—"))</f>
        <v/>
      </c>
      <c r="AA38" s="64" t="str">
        <f aca="false">IF($C38="","",IFERROR(IF(INDEX(Substances!$J$2:$J$60,MATCH($C38,Substances!$A$2:$A$60,0))="","",INDEX(Substances!$J$2:$J$60,MATCH($C38,Substances!$A$2:$A$60,0))),"—"))</f>
        <v/>
      </c>
      <c r="AB38" s="65" t="str">
        <f aca="false">IF($C38="","",IFERROR(IF(INDEX(Substances!$K$2:$K$60,MATCH($C38,Substances!$A$2:$A$60,0))="","",INDEX(Substances!$K$2:$K$60,MATCH($C38,Substances!$A$2:$A$60,0))),"—"))</f>
        <v/>
      </c>
      <c r="AC38" s="62" t="str">
        <f aca="false">IF($C38="","",IFERROR($U38/28.96,"—"))</f>
        <v/>
      </c>
      <c r="AD38" s="66" t="str">
        <f aca="false">IF($C38="","",IFERROR(N($G38)*100000+Tables!$B$4,"—"))</f>
        <v/>
      </c>
      <c r="AE38" s="67" t="str">
        <f aca="false">IF($C38="","",IFERROR($H38+273.15,"—"))</f>
        <v/>
      </c>
      <c r="AF38" s="67" t="str">
        <f aca="false">IF($C38="","",IFERROR($I38+273.15,"—"))</f>
        <v/>
      </c>
      <c r="AG38" s="66" t="str">
        <f aca="false">IF($C38="","",IFERROR(IF($D38="Gas/vapour jet",Tables!$B$4*(($W38+1)/2)^($W38/($W38-1)),"n/a"),"—"))</f>
        <v/>
      </c>
      <c r="AH38" s="68" t="str">
        <f aca="false">IF($C38="","",IFERROR(IF($D38="Gas/vapour jet",IF($AD38&gt;$AG38,"Choked","Subsonic"),"n/a"),"—"))</f>
        <v/>
      </c>
      <c r="AI38" s="69" t="str">
        <f aca="false">IF($C38="","",IFERROR(IF($D38="Gas/vapour jet","n/a",MIN(101.325,IF($P38&lt;&gt;"",$P38,IF(N(INDEX(Substances!$L$2:$L$60,MATCH($C38,Substances!$A$2:$A$60,0)))&lt;&gt;0,0.133322*10^(INDEX(Substances!$L$2:$L$60,MATCH($C38,Substances!$A$2:$A$60,0))-INDEX(Substances!$M$2:$M$60,MATCH($C38,Substances!$A$2:$A$60,0))/(INDEX(Substances!$N$2:$N$60,MATCH($C38,Substances!$A$2:$A$60,0))+$H38)),101.325*EXP(10.58*(1-($Y38+273.15)/$AE38)))))),"—"))</f>
        <v/>
      </c>
      <c r="AJ38" s="70" t="str">
        <f aca="false">IF($C38="","",IFERROR(IF($D38="Liquid jet",$K38*$J38*0.000001*SQRT(2*$X38*N($G38)*100000),"n/a"),"—"))</f>
        <v/>
      </c>
      <c r="AK38" s="71" t="str">
        <f aca="false">IF($C38="","",IFERROR(IF($D38="Gas/vapour jet",IF($AH38="Choked",$K38*$J38*0.000001*$AD38*SQRT($W38*$U38/($L38*Tables!$B$5*$AE38)*(2/($W38+1))^(($W38+1)/($W38-1))),$K38*$J38*0.000001*$AD38*SQRT($U38/($L38*Tables!$B$5*$AE38)*(2*$W38/($W38-1))*(1-(Tables!$B$4/$AD38)^(($W38-1)/$W38))*(Tables!$B$4/$AD38)^(2/$W38))),IF($D38="Liquid jet",$AJ38*IF($M38&lt;&gt;"",$M38,IF($H38&gt;=$Y38,1,0)),6.55*$O38^0.78*$N38*$AI38*$U38^0.667/(Tables!$B$5*$AE38))),"—"))</f>
        <v/>
      </c>
      <c r="AL38" s="72" t="str">
        <f aca="false">IF($C38="","",IFERROR(Tables!$B$10*$U38*$V38,"—"))</f>
        <v/>
      </c>
      <c r="AM38" s="69" t="str">
        <f aca="false">IF($C38="","",IFERROR(INDEX(Tables!$B$15:$B$17,MATCH($E38,Tables!$A$15:$A$17,0)),"—"))</f>
        <v/>
      </c>
      <c r="AN38" s="70" t="str">
        <f aca="false">IF($C38="","",IFERROR($AK38/($AM38*$AL38)*$AF38/Tables!$B$9,"—"))</f>
        <v/>
      </c>
      <c r="AO38" s="72" t="str">
        <f aca="false">IF($C38="","",IFERROR(IF($F38="Outdoor",Tables!$B$8,$R38/3600),"—"))</f>
        <v/>
      </c>
      <c r="AP38" s="73" t="str">
        <f aca="false">IF($C38="","",IFERROR($S38*$AN38/$AO38,"—"))</f>
        <v/>
      </c>
      <c r="AQ38" s="74" t="str">
        <f aca="false">IF($C38="","",IFERROR(IF($AP38&lt;Tables!$B$7,"High",IF($F38="Outdoor","Medium",IF($AP38&lt;$Q38,"Medium","Low"))),"—"))</f>
        <v/>
      </c>
      <c r="AR38" s="75" t="str">
        <f aca="false">IF($C38="","",IFERROR(-$S38/$AO38*LN($V38*$AM38/Tables!$B$6)/60,"—"))</f>
        <v/>
      </c>
      <c r="AS38" s="76" t="str">
        <f aca="false">IF($C38="","",IFERROR(INDEX(Tables!$B$22:$J$24,MATCH($E38,Tables!$A$22:$A$24,0),MATCH($AQ38&amp;"-"&amp;$T38,Tables!$B$21:$J$21,0)),"—"))</f>
        <v/>
      </c>
      <c r="AT38" s="77" t="str">
        <f aca="false">IF($C38="","",IFERROR((3*$AP38/(2*PI()))^(1/3),"—"))</f>
        <v/>
      </c>
      <c r="AU38" s="78" t="str">
        <f aca="false">IF($C38="","",IFERROR(IF(ISNUMBER(SEARCH("Zone 0",IFERROR(LEFT($AS38,FIND("(",$AS38)-1),$AS38))),"Ga",IF(ISNUMBER(SEARCH("Zone 1",IFERROR(LEFT($AS38,FIND("(",$AS38)-1),$AS38))),"Gb",IF(ISNUMBER(SEARCH("Zone 2",IFERROR(LEFT($AS38,FIND("(",$AS38)-1),$AS38))),"Gc","None required"))),"—"))</f>
        <v/>
      </c>
      <c r="AV38" s="74" t="str">
        <f aca="false">IF($C38="","",IFERROR(IF($AU38="None required","—",$AB38&amp;" "&amp;INDEX(Tables!$B$31:$B$37,MATCH($AA38-0.001,Tables!$A$31:$A$37,1))),"—"))</f>
        <v/>
      </c>
      <c r="AW38" s="79" t="str">
        <f aca="false">IF($C38="","",TRIM(IF(IF(ISNUMBER($Z38),$H38&lt;$Z38-5,FALSE()),"Handled &gt;5°C below flash point — may not need zoning (unless mist/spray). ","")&amp;IF(IF(AND($D38="Pool evaporation",ISNUMBER($Y38)),$H38&gt;=$Y38,FALSE()),"Liquid at/above boiling point — pool equation not valid, treat as gas release. ","")&amp;IF(IF(AND($D38="Liquid jet",$M38="",ISNUMBER($Y38)),$H38&lt;$Y38,FALSE()),"Non-flashing liquid: vapour rate set to 0 — model the resulting pool on its own row. ","")&amp;IF(AND($D38="Gas/vapour jet",NOT(ISNUMBER($W38))),"No γ in library for this substance. ","")&amp;IF(IF(ISNUMBER($AC38),$AC38&gt;1.2,FALSE()),"Heavier than air — extend zone at low level / into pits and drains. ","")&amp;IF($AQ38="Low","Vz ≥ V0: ventilation cannot control the release — whole room affected. ","")&amp;IF(AND($F38="Indoor",OR($Q38="",$R38="")),"Indoor: enter room volume and air changes. ","")))</f>
        <v/>
      </c>
    </row>
    <row r="39" customFormat="false" ht="15" hidden="false" customHeight="false" outlineLevel="0" collapsed="false">
      <c r="A39" s="56"/>
      <c r="B39" s="57"/>
      <c r="C39" s="56"/>
      <c r="D39" s="56"/>
      <c r="E39" s="56"/>
      <c r="F39" s="56"/>
      <c r="G39" s="58"/>
      <c r="H39" s="59"/>
      <c r="I39" s="59"/>
      <c r="J39" s="60"/>
      <c r="K39" s="58"/>
      <c r="L39" s="58"/>
      <c r="M39" s="58"/>
      <c r="N39" s="58"/>
      <c r="O39" s="58"/>
      <c r="P39" s="58"/>
      <c r="Q39" s="61"/>
      <c r="R39" s="59"/>
      <c r="S39" s="59"/>
      <c r="T39" s="56"/>
      <c r="U39" s="62" t="str">
        <f aca="false">IF($C39="","",IFERROR(IF(INDEX(Substances!$C$2:$C$60,MATCH($C39,Substances!$A$2:$A$60,0))="","",INDEX(Substances!$C$2:$C$60,MATCH($C39,Substances!$A$2:$A$60,0))),"—"))</f>
        <v/>
      </c>
      <c r="V39" s="63" t="str">
        <f aca="false">IF($C39="","",IFERROR(IF(INDEX(Substances!$D$2:$D$60,MATCH($C39,Substances!$A$2:$A$60,0))="","",INDEX(Substances!$D$2:$D$60,MATCH($C39,Substances!$A$2:$A$60,0))),"—"))</f>
        <v/>
      </c>
      <c r="W39" s="62" t="str">
        <f aca="false">IF($C39="","",IFERROR(IF(INDEX(Substances!$F$2:$F$60,MATCH($C39,Substances!$A$2:$A$60,0))="","",INDEX(Substances!$F$2:$F$60,MATCH($C39,Substances!$A$2:$A$60,0))),"—"))</f>
        <v/>
      </c>
      <c r="X39" s="64" t="str">
        <f aca="false">IF($C39="","",IFERROR(IF(INDEX(Substances!$G$2:$G$60,MATCH($C39,Substances!$A$2:$A$60,0))="","",INDEX(Substances!$G$2:$G$60,MATCH($C39,Substances!$A$2:$A$60,0))),"—"))</f>
        <v/>
      </c>
      <c r="Y39" s="63" t="str">
        <f aca="false">IF($C39="","",IFERROR(IF(INDEX(Substances!$H$2:$H$60,MATCH($C39,Substances!$A$2:$A$60,0))="","",INDEX(Substances!$H$2:$H$60,MATCH($C39,Substances!$A$2:$A$60,0))),"—"))</f>
        <v/>
      </c>
      <c r="Z39" s="64" t="str">
        <f aca="false">IF($C39="","",IFERROR(IF(INDEX(Substances!$I$2:$I$60,MATCH($C39,Substances!$A$2:$A$60,0))="","",INDEX(Substances!$I$2:$I$60,MATCH($C39,Substances!$A$2:$A$60,0))),"—"))</f>
        <v/>
      </c>
      <c r="AA39" s="64" t="str">
        <f aca="false">IF($C39="","",IFERROR(IF(INDEX(Substances!$J$2:$J$60,MATCH($C39,Substances!$A$2:$A$60,0))="","",INDEX(Substances!$J$2:$J$60,MATCH($C39,Substances!$A$2:$A$60,0))),"—"))</f>
        <v/>
      </c>
      <c r="AB39" s="65" t="str">
        <f aca="false">IF($C39="","",IFERROR(IF(INDEX(Substances!$K$2:$K$60,MATCH($C39,Substances!$A$2:$A$60,0))="","",INDEX(Substances!$K$2:$K$60,MATCH($C39,Substances!$A$2:$A$60,0))),"—"))</f>
        <v/>
      </c>
      <c r="AC39" s="62" t="str">
        <f aca="false">IF($C39="","",IFERROR($U39/28.96,"—"))</f>
        <v/>
      </c>
      <c r="AD39" s="66" t="str">
        <f aca="false">IF($C39="","",IFERROR(N($G39)*100000+Tables!$B$4,"—"))</f>
        <v/>
      </c>
      <c r="AE39" s="67" t="str">
        <f aca="false">IF($C39="","",IFERROR($H39+273.15,"—"))</f>
        <v/>
      </c>
      <c r="AF39" s="67" t="str">
        <f aca="false">IF($C39="","",IFERROR($I39+273.15,"—"))</f>
        <v/>
      </c>
      <c r="AG39" s="66" t="str">
        <f aca="false">IF($C39="","",IFERROR(IF($D39="Gas/vapour jet",Tables!$B$4*(($W39+1)/2)^($W39/($W39-1)),"n/a"),"—"))</f>
        <v/>
      </c>
      <c r="AH39" s="68" t="str">
        <f aca="false">IF($C39="","",IFERROR(IF($D39="Gas/vapour jet",IF($AD39&gt;$AG39,"Choked","Subsonic"),"n/a"),"—"))</f>
        <v/>
      </c>
      <c r="AI39" s="69" t="str">
        <f aca="false">IF($C39="","",IFERROR(IF($D39="Gas/vapour jet","n/a",MIN(101.325,IF($P39&lt;&gt;"",$P39,IF(N(INDEX(Substances!$L$2:$L$60,MATCH($C39,Substances!$A$2:$A$60,0)))&lt;&gt;0,0.133322*10^(INDEX(Substances!$L$2:$L$60,MATCH($C39,Substances!$A$2:$A$60,0))-INDEX(Substances!$M$2:$M$60,MATCH($C39,Substances!$A$2:$A$60,0))/(INDEX(Substances!$N$2:$N$60,MATCH($C39,Substances!$A$2:$A$60,0))+$H39)),101.325*EXP(10.58*(1-($Y39+273.15)/$AE39)))))),"—"))</f>
        <v/>
      </c>
      <c r="AJ39" s="70" t="str">
        <f aca="false">IF($C39="","",IFERROR(IF($D39="Liquid jet",$K39*$J39*0.000001*SQRT(2*$X39*N($G39)*100000),"n/a"),"—"))</f>
        <v/>
      </c>
      <c r="AK39" s="71" t="str">
        <f aca="false">IF($C39="","",IFERROR(IF($D39="Gas/vapour jet",IF($AH39="Choked",$K39*$J39*0.000001*$AD39*SQRT($W39*$U39/($L39*Tables!$B$5*$AE39)*(2/($W39+1))^(($W39+1)/($W39-1))),$K39*$J39*0.000001*$AD39*SQRT($U39/($L39*Tables!$B$5*$AE39)*(2*$W39/($W39-1))*(1-(Tables!$B$4/$AD39)^(($W39-1)/$W39))*(Tables!$B$4/$AD39)^(2/$W39))),IF($D39="Liquid jet",$AJ39*IF($M39&lt;&gt;"",$M39,IF($H39&gt;=$Y39,1,0)),6.55*$O39^0.78*$N39*$AI39*$U39^0.667/(Tables!$B$5*$AE39))),"—"))</f>
        <v/>
      </c>
      <c r="AL39" s="72" t="str">
        <f aca="false">IF($C39="","",IFERROR(Tables!$B$10*$U39*$V39,"—"))</f>
        <v/>
      </c>
      <c r="AM39" s="69" t="str">
        <f aca="false">IF($C39="","",IFERROR(INDEX(Tables!$B$15:$B$17,MATCH($E39,Tables!$A$15:$A$17,0)),"—"))</f>
        <v/>
      </c>
      <c r="AN39" s="70" t="str">
        <f aca="false">IF($C39="","",IFERROR($AK39/($AM39*$AL39)*$AF39/Tables!$B$9,"—"))</f>
        <v/>
      </c>
      <c r="AO39" s="72" t="str">
        <f aca="false">IF($C39="","",IFERROR(IF($F39="Outdoor",Tables!$B$8,$R39/3600),"—"))</f>
        <v/>
      </c>
      <c r="AP39" s="73" t="str">
        <f aca="false">IF($C39="","",IFERROR($S39*$AN39/$AO39,"—"))</f>
        <v/>
      </c>
      <c r="AQ39" s="74" t="str">
        <f aca="false">IF($C39="","",IFERROR(IF($AP39&lt;Tables!$B$7,"High",IF($F39="Outdoor","Medium",IF($AP39&lt;$Q39,"Medium","Low"))),"—"))</f>
        <v/>
      </c>
      <c r="AR39" s="75" t="str">
        <f aca="false">IF($C39="","",IFERROR(-$S39/$AO39*LN($V39*$AM39/Tables!$B$6)/60,"—"))</f>
        <v/>
      </c>
      <c r="AS39" s="76" t="str">
        <f aca="false">IF($C39="","",IFERROR(INDEX(Tables!$B$22:$J$24,MATCH($E39,Tables!$A$22:$A$24,0),MATCH($AQ39&amp;"-"&amp;$T39,Tables!$B$21:$J$21,0)),"—"))</f>
        <v/>
      </c>
      <c r="AT39" s="77" t="str">
        <f aca="false">IF($C39="","",IFERROR((3*$AP39/(2*PI()))^(1/3),"—"))</f>
        <v/>
      </c>
      <c r="AU39" s="78" t="str">
        <f aca="false">IF($C39="","",IFERROR(IF(ISNUMBER(SEARCH("Zone 0",IFERROR(LEFT($AS39,FIND("(",$AS39)-1),$AS39))),"Ga",IF(ISNUMBER(SEARCH("Zone 1",IFERROR(LEFT($AS39,FIND("(",$AS39)-1),$AS39))),"Gb",IF(ISNUMBER(SEARCH("Zone 2",IFERROR(LEFT($AS39,FIND("(",$AS39)-1),$AS39))),"Gc","None required"))),"—"))</f>
        <v/>
      </c>
      <c r="AV39" s="74" t="str">
        <f aca="false">IF($C39="","",IFERROR(IF($AU39="None required","—",$AB39&amp;" "&amp;INDEX(Tables!$B$31:$B$37,MATCH($AA39-0.001,Tables!$A$31:$A$37,1))),"—"))</f>
        <v/>
      </c>
      <c r="AW39" s="79" t="str">
        <f aca="false">IF($C39="","",TRIM(IF(IF(ISNUMBER($Z39),$H39&lt;$Z39-5,FALSE()),"Handled &gt;5°C below flash point — may not need zoning (unless mist/spray). ","")&amp;IF(IF(AND($D39="Pool evaporation",ISNUMBER($Y39)),$H39&gt;=$Y39,FALSE()),"Liquid at/above boiling point — pool equation not valid, treat as gas release. ","")&amp;IF(IF(AND($D39="Liquid jet",$M39="",ISNUMBER($Y39)),$H39&lt;$Y39,FALSE()),"Non-flashing liquid: vapour rate set to 0 — model the resulting pool on its own row. ","")&amp;IF(AND($D39="Gas/vapour jet",NOT(ISNUMBER($W39))),"No γ in library for this substance. ","")&amp;IF(IF(ISNUMBER($AC39),$AC39&gt;1.2,FALSE()),"Heavier than air — extend zone at low level / into pits and drains. ","")&amp;IF($AQ39="Low","Vz ≥ V0: ventilation cannot control the release — whole room affected. ","")&amp;IF(AND($F39="Indoor",OR($Q39="",$R39="")),"Indoor: enter room volume and air changes. ","")))</f>
        <v/>
      </c>
    </row>
    <row r="40" customFormat="false" ht="15" hidden="false" customHeight="false" outlineLevel="0" collapsed="false">
      <c r="A40" s="56"/>
      <c r="B40" s="57"/>
      <c r="C40" s="56"/>
      <c r="D40" s="56"/>
      <c r="E40" s="56"/>
      <c r="F40" s="56"/>
      <c r="G40" s="58"/>
      <c r="H40" s="59"/>
      <c r="I40" s="59"/>
      <c r="J40" s="60"/>
      <c r="K40" s="58"/>
      <c r="L40" s="58"/>
      <c r="M40" s="58"/>
      <c r="N40" s="58"/>
      <c r="O40" s="58"/>
      <c r="P40" s="58"/>
      <c r="Q40" s="61"/>
      <c r="R40" s="59"/>
      <c r="S40" s="59"/>
      <c r="T40" s="56"/>
      <c r="U40" s="62" t="str">
        <f aca="false">IF($C40="","",IFERROR(IF(INDEX(Substances!$C$2:$C$60,MATCH($C40,Substances!$A$2:$A$60,0))="","",INDEX(Substances!$C$2:$C$60,MATCH($C40,Substances!$A$2:$A$60,0))),"—"))</f>
        <v/>
      </c>
      <c r="V40" s="63" t="str">
        <f aca="false">IF($C40="","",IFERROR(IF(INDEX(Substances!$D$2:$D$60,MATCH($C40,Substances!$A$2:$A$60,0))="","",INDEX(Substances!$D$2:$D$60,MATCH($C40,Substances!$A$2:$A$60,0))),"—"))</f>
        <v/>
      </c>
      <c r="W40" s="62" t="str">
        <f aca="false">IF($C40="","",IFERROR(IF(INDEX(Substances!$F$2:$F$60,MATCH($C40,Substances!$A$2:$A$60,0))="","",INDEX(Substances!$F$2:$F$60,MATCH($C40,Substances!$A$2:$A$60,0))),"—"))</f>
        <v/>
      </c>
      <c r="X40" s="64" t="str">
        <f aca="false">IF($C40="","",IFERROR(IF(INDEX(Substances!$G$2:$G$60,MATCH($C40,Substances!$A$2:$A$60,0))="","",INDEX(Substances!$G$2:$G$60,MATCH($C40,Substances!$A$2:$A$60,0))),"—"))</f>
        <v/>
      </c>
      <c r="Y40" s="63" t="str">
        <f aca="false">IF($C40="","",IFERROR(IF(INDEX(Substances!$H$2:$H$60,MATCH($C40,Substances!$A$2:$A$60,0))="","",INDEX(Substances!$H$2:$H$60,MATCH($C40,Substances!$A$2:$A$60,0))),"—"))</f>
        <v/>
      </c>
      <c r="Z40" s="64" t="str">
        <f aca="false">IF($C40="","",IFERROR(IF(INDEX(Substances!$I$2:$I$60,MATCH($C40,Substances!$A$2:$A$60,0))="","",INDEX(Substances!$I$2:$I$60,MATCH($C40,Substances!$A$2:$A$60,0))),"—"))</f>
        <v/>
      </c>
      <c r="AA40" s="64" t="str">
        <f aca="false">IF($C40="","",IFERROR(IF(INDEX(Substances!$J$2:$J$60,MATCH($C40,Substances!$A$2:$A$60,0))="","",INDEX(Substances!$J$2:$J$60,MATCH($C40,Substances!$A$2:$A$60,0))),"—"))</f>
        <v/>
      </c>
      <c r="AB40" s="65" t="str">
        <f aca="false">IF($C40="","",IFERROR(IF(INDEX(Substances!$K$2:$K$60,MATCH($C40,Substances!$A$2:$A$60,0))="","",INDEX(Substances!$K$2:$K$60,MATCH($C40,Substances!$A$2:$A$60,0))),"—"))</f>
        <v/>
      </c>
      <c r="AC40" s="62" t="str">
        <f aca="false">IF($C40="","",IFERROR($U40/28.96,"—"))</f>
        <v/>
      </c>
      <c r="AD40" s="66" t="str">
        <f aca="false">IF($C40="","",IFERROR(N($G40)*100000+Tables!$B$4,"—"))</f>
        <v/>
      </c>
      <c r="AE40" s="67" t="str">
        <f aca="false">IF($C40="","",IFERROR($H40+273.15,"—"))</f>
        <v/>
      </c>
      <c r="AF40" s="67" t="str">
        <f aca="false">IF($C40="","",IFERROR($I40+273.15,"—"))</f>
        <v/>
      </c>
      <c r="AG40" s="66" t="str">
        <f aca="false">IF($C40="","",IFERROR(IF($D40="Gas/vapour jet",Tables!$B$4*(($W40+1)/2)^($W40/($W40-1)),"n/a"),"—"))</f>
        <v/>
      </c>
      <c r="AH40" s="68" t="str">
        <f aca="false">IF($C40="","",IFERROR(IF($D40="Gas/vapour jet",IF($AD40&gt;$AG40,"Choked","Subsonic"),"n/a"),"—"))</f>
        <v/>
      </c>
      <c r="AI40" s="69" t="str">
        <f aca="false">IF($C40="","",IFERROR(IF($D40="Gas/vapour jet","n/a",MIN(101.325,IF($P40&lt;&gt;"",$P40,IF(N(INDEX(Substances!$L$2:$L$60,MATCH($C40,Substances!$A$2:$A$60,0)))&lt;&gt;0,0.133322*10^(INDEX(Substances!$L$2:$L$60,MATCH($C40,Substances!$A$2:$A$60,0))-INDEX(Substances!$M$2:$M$60,MATCH($C40,Substances!$A$2:$A$60,0))/(INDEX(Substances!$N$2:$N$60,MATCH($C40,Substances!$A$2:$A$60,0))+$H40)),101.325*EXP(10.58*(1-($Y40+273.15)/$AE40)))))),"—"))</f>
        <v/>
      </c>
      <c r="AJ40" s="70" t="str">
        <f aca="false">IF($C40="","",IFERROR(IF($D40="Liquid jet",$K40*$J40*0.000001*SQRT(2*$X40*N($G40)*100000),"n/a"),"—"))</f>
        <v/>
      </c>
      <c r="AK40" s="71" t="str">
        <f aca="false">IF($C40="","",IFERROR(IF($D40="Gas/vapour jet",IF($AH40="Choked",$K40*$J40*0.000001*$AD40*SQRT($W40*$U40/($L40*Tables!$B$5*$AE40)*(2/($W40+1))^(($W40+1)/($W40-1))),$K40*$J40*0.000001*$AD40*SQRT($U40/($L40*Tables!$B$5*$AE40)*(2*$W40/($W40-1))*(1-(Tables!$B$4/$AD40)^(($W40-1)/$W40))*(Tables!$B$4/$AD40)^(2/$W40))),IF($D40="Liquid jet",$AJ40*IF($M40&lt;&gt;"",$M40,IF($H40&gt;=$Y40,1,0)),6.55*$O40^0.78*$N40*$AI40*$U40^0.667/(Tables!$B$5*$AE40))),"—"))</f>
        <v/>
      </c>
      <c r="AL40" s="72" t="str">
        <f aca="false">IF($C40="","",IFERROR(Tables!$B$10*$U40*$V40,"—"))</f>
        <v/>
      </c>
      <c r="AM40" s="69" t="str">
        <f aca="false">IF($C40="","",IFERROR(INDEX(Tables!$B$15:$B$17,MATCH($E40,Tables!$A$15:$A$17,0)),"—"))</f>
        <v/>
      </c>
      <c r="AN40" s="70" t="str">
        <f aca="false">IF($C40="","",IFERROR($AK40/($AM40*$AL40)*$AF40/Tables!$B$9,"—"))</f>
        <v/>
      </c>
      <c r="AO40" s="72" t="str">
        <f aca="false">IF($C40="","",IFERROR(IF($F40="Outdoor",Tables!$B$8,$R40/3600),"—"))</f>
        <v/>
      </c>
      <c r="AP40" s="73" t="str">
        <f aca="false">IF($C40="","",IFERROR($S40*$AN40/$AO40,"—"))</f>
        <v/>
      </c>
      <c r="AQ40" s="74" t="str">
        <f aca="false">IF($C40="","",IFERROR(IF($AP40&lt;Tables!$B$7,"High",IF($F40="Outdoor","Medium",IF($AP40&lt;$Q40,"Medium","Low"))),"—"))</f>
        <v/>
      </c>
      <c r="AR40" s="75" t="str">
        <f aca="false">IF($C40="","",IFERROR(-$S40/$AO40*LN($V40*$AM40/Tables!$B$6)/60,"—"))</f>
        <v/>
      </c>
      <c r="AS40" s="76" t="str">
        <f aca="false">IF($C40="","",IFERROR(INDEX(Tables!$B$22:$J$24,MATCH($E40,Tables!$A$22:$A$24,0),MATCH($AQ40&amp;"-"&amp;$T40,Tables!$B$21:$J$21,0)),"—"))</f>
        <v/>
      </c>
      <c r="AT40" s="77" t="str">
        <f aca="false">IF($C40="","",IFERROR((3*$AP40/(2*PI()))^(1/3),"—"))</f>
        <v/>
      </c>
      <c r="AU40" s="78" t="str">
        <f aca="false">IF($C40="","",IFERROR(IF(ISNUMBER(SEARCH("Zone 0",IFERROR(LEFT($AS40,FIND("(",$AS40)-1),$AS40))),"Ga",IF(ISNUMBER(SEARCH("Zone 1",IFERROR(LEFT($AS40,FIND("(",$AS40)-1),$AS40))),"Gb",IF(ISNUMBER(SEARCH("Zone 2",IFERROR(LEFT($AS40,FIND("(",$AS40)-1),$AS40))),"Gc","None required"))),"—"))</f>
        <v/>
      </c>
      <c r="AV40" s="74" t="str">
        <f aca="false">IF($C40="","",IFERROR(IF($AU40="None required","—",$AB40&amp;" "&amp;INDEX(Tables!$B$31:$B$37,MATCH($AA40-0.001,Tables!$A$31:$A$37,1))),"—"))</f>
        <v/>
      </c>
      <c r="AW40" s="79" t="str">
        <f aca="false">IF($C40="","",TRIM(IF(IF(ISNUMBER($Z40),$H40&lt;$Z40-5,FALSE()),"Handled &gt;5°C below flash point — may not need zoning (unless mist/spray). ","")&amp;IF(IF(AND($D40="Pool evaporation",ISNUMBER($Y40)),$H40&gt;=$Y40,FALSE()),"Liquid at/above boiling point — pool equation not valid, treat as gas release. ","")&amp;IF(IF(AND($D40="Liquid jet",$M40="",ISNUMBER($Y40)),$H40&lt;$Y40,FALSE()),"Non-flashing liquid: vapour rate set to 0 — model the resulting pool on its own row. ","")&amp;IF(AND($D40="Gas/vapour jet",NOT(ISNUMBER($W40))),"No γ in library for this substance. ","")&amp;IF(IF(ISNUMBER($AC40),$AC40&gt;1.2,FALSE()),"Heavier than air — extend zone at low level / into pits and drains. ","")&amp;IF($AQ40="Low","Vz ≥ V0: ventilation cannot control the release — whole room affected. ","")&amp;IF(AND($F40="Indoor",OR($Q40="",$R40="")),"Indoor: enter room volume and air changes. ","")))</f>
        <v/>
      </c>
    </row>
    <row r="41" customFormat="false" ht="15" hidden="false" customHeight="false" outlineLevel="0" collapsed="false">
      <c r="A41" s="56"/>
      <c r="B41" s="57"/>
      <c r="C41" s="56"/>
      <c r="D41" s="56"/>
      <c r="E41" s="56"/>
      <c r="F41" s="56"/>
      <c r="G41" s="58"/>
      <c r="H41" s="59"/>
      <c r="I41" s="59"/>
      <c r="J41" s="60"/>
      <c r="K41" s="58"/>
      <c r="L41" s="58"/>
      <c r="M41" s="58"/>
      <c r="N41" s="58"/>
      <c r="O41" s="58"/>
      <c r="P41" s="58"/>
      <c r="Q41" s="61"/>
      <c r="R41" s="59"/>
      <c r="S41" s="59"/>
      <c r="T41" s="56"/>
      <c r="U41" s="62" t="str">
        <f aca="false">IF($C41="","",IFERROR(IF(INDEX(Substances!$C$2:$C$60,MATCH($C41,Substances!$A$2:$A$60,0))="","",INDEX(Substances!$C$2:$C$60,MATCH($C41,Substances!$A$2:$A$60,0))),"—"))</f>
        <v/>
      </c>
      <c r="V41" s="63" t="str">
        <f aca="false">IF($C41="","",IFERROR(IF(INDEX(Substances!$D$2:$D$60,MATCH($C41,Substances!$A$2:$A$60,0))="","",INDEX(Substances!$D$2:$D$60,MATCH($C41,Substances!$A$2:$A$60,0))),"—"))</f>
        <v/>
      </c>
      <c r="W41" s="62" t="str">
        <f aca="false">IF($C41="","",IFERROR(IF(INDEX(Substances!$F$2:$F$60,MATCH($C41,Substances!$A$2:$A$60,0))="","",INDEX(Substances!$F$2:$F$60,MATCH($C41,Substances!$A$2:$A$60,0))),"—"))</f>
        <v/>
      </c>
      <c r="X41" s="64" t="str">
        <f aca="false">IF($C41="","",IFERROR(IF(INDEX(Substances!$G$2:$G$60,MATCH($C41,Substances!$A$2:$A$60,0))="","",INDEX(Substances!$G$2:$G$60,MATCH($C41,Substances!$A$2:$A$60,0))),"—"))</f>
        <v/>
      </c>
      <c r="Y41" s="63" t="str">
        <f aca="false">IF($C41="","",IFERROR(IF(INDEX(Substances!$H$2:$H$60,MATCH($C41,Substances!$A$2:$A$60,0))="","",INDEX(Substances!$H$2:$H$60,MATCH($C41,Substances!$A$2:$A$60,0))),"—"))</f>
        <v/>
      </c>
      <c r="Z41" s="64" t="str">
        <f aca="false">IF($C41="","",IFERROR(IF(INDEX(Substances!$I$2:$I$60,MATCH($C41,Substances!$A$2:$A$60,0))="","",INDEX(Substances!$I$2:$I$60,MATCH($C41,Substances!$A$2:$A$60,0))),"—"))</f>
        <v/>
      </c>
      <c r="AA41" s="64" t="str">
        <f aca="false">IF($C41="","",IFERROR(IF(INDEX(Substances!$J$2:$J$60,MATCH($C41,Substances!$A$2:$A$60,0))="","",INDEX(Substances!$J$2:$J$60,MATCH($C41,Substances!$A$2:$A$60,0))),"—"))</f>
        <v/>
      </c>
      <c r="AB41" s="65" t="str">
        <f aca="false">IF($C41="","",IFERROR(IF(INDEX(Substances!$K$2:$K$60,MATCH($C41,Substances!$A$2:$A$60,0))="","",INDEX(Substances!$K$2:$K$60,MATCH($C41,Substances!$A$2:$A$60,0))),"—"))</f>
        <v/>
      </c>
      <c r="AC41" s="62" t="str">
        <f aca="false">IF($C41="","",IFERROR($U41/28.96,"—"))</f>
        <v/>
      </c>
      <c r="AD41" s="66" t="str">
        <f aca="false">IF($C41="","",IFERROR(N($G41)*100000+Tables!$B$4,"—"))</f>
        <v/>
      </c>
      <c r="AE41" s="67" t="str">
        <f aca="false">IF($C41="","",IFERROR($H41+273.15,"—"))</f>
        <v/>
      </c>
      <c r="AF41" s="67" t="str">
        <f aca="false">IF($C41="","",IFERROR($I41+273.15,"—"))</f>
        <v/>
      </c>
      <c r="AG41" s="66" t="str">
        <f aca="false">IF($C41="","",IFERROR(IF($D41="Gas/vapour jet",Tables!$B$4*(($W41+1)/2)^($W41/($W41-1)),"n/a"),"—"))</f>
        <v/>
      </c>
      <c r="AH41" s="68" t="str">
        <f aca="false">IF($C41="","",IFERROR(IF($D41="Gas/vapour jet",IF($AD41&gt;$AG41,"Choked","Subsonic"),"n/a"),"—"))</f>
        <v/>
      </c>
      <c r="AI41" s="69" t="str">
        <f aca="false">IF($C41="","",IFERROR(IF($D41="Gas/vapour jet","n/a",MIN(101.325,IF($P41&lt;&gt;"",$P41,IF(N(INDEX(Substances!$L$2:$L$60,MATCH($C41,Substances!$A$2:$A$60,0)))&lt;&gt;0,0.133322*10^(INDEX(Substances!$L$2:$L$60,MATCH($C41,Substances!$A$2:$A$60,0))-INDEX(Substances!$M$2:$M$60,MATCH($C41,Substances!$A$2:$A$60,0))/(INDEX(Substances!$N$2:$N$60,MATCH($C41,Substances!$A$2:$A$60,0))+$H41)),101.325*EXP(10.58*(1-($Y41+273.15)/$AE41)))))),"—"))</f>
        <v/>
      </c>
      <c r="AJ41" s="70" t="str">
        <f aca="false">IF($C41="","",IFERROR(IF($D41="Liquid jet",$K41*$J41*0.000001*SQRT(2*$X41*N($G41)*100000),"n/a"),"—"))</f>
        <v/>
      </c>
      <c r="AK41" s="71" t="str">
        <f aca="false">IF($C41="","",IFERROR(IF($D41="Gas/vapour jet",IF($AH41="Choked",$K41*$J41*0.000001*$AD41*SQRT($W41*$U41/($L41*Tables!$B$5*$AE41)*(2/($W41+1))^(($W41+1)/($W41-1))),$K41*$J41*0.000001*$AD41*SQRT($U41/($L41*Tables!$B$5*$AE41)*(2*$W41/($W41-1))*(1-(Tables!$B$4/$AD41)^(($W41-1)/$W41))*(Tables!$B$4/$AD41)^(2/$W41))),IF($D41="Liquid jet",$AJ41*IF($M41&lt;&gt;"",$M41,IF($H41&gt;=$Y41,1,0)),6.55*$O41^0.78*$N41*$AI41*$U41^0.667/(Tables!$B$5*$AE41))),"—"))</f>
        <v/>
      </c>
      <c r="AL41" s="72" t="str">
        <f aca="false">IF($C41="","",IFERROR(Tables!$B$10*$U41*$V41,"—"))</f>
        <v/>
      </c>
      <c r="AM41" s="69" t="str">
        <f aca="false">IF($C41="","",IFERROR(INDEX(Tables!$B$15:$B$17,MATCH($E41,Tables!$A$15:$A$17,0)),"—"))</f>
        <v/>
      </c>
      <c r="AN41" s="70" t="str">
        <f aca="false">IF($C41="","",IFERROR($AK41/($AM41*$AL41)*$AF41/Tables!$B$9,"—"))</f>
        <v/>
      </c>
      <c r="AO41" s="72" t="str">
        <f aca="false">IF($C41="","",IFERROR(IF($F41="Outdoor",Tables!$B$8,$R41/3600),"—"))</f>
        <v/>
      </c>
      <c r="AP41" s="73" t="str">
        <f aca="false">IF($C41="","",IFERROR($S41*$AN41/$AO41,"—"))</f>
        <v/>
      </c>
      <c r="AQ41" s="74" t="str">
        <f aca="false">IF($C41="","",IFERROR(IF($AP41&lt;Tables!$B$7,"High",IF($F41="Outdoor","Medium",IF($AP41&lt;$Q41,"Medium","Low"))),"—"))</f>
        <v/>
      </c>
      <c r="AR41" s="75" t="str">
        <f aca="false">IF($C41="","",IFERROR(-$S41/$AO41*LN($V41*$AM41/Tables!$B$6)/60,"—"))</f>
        <v/>
      </c>
      <c r="AS41" s="76" t="str">
        <f aca="false">IF($C41="","",IFERROR(INDEX(Tables!$B$22:$J$24,MATCH($E41,Tables!$A$22:$A$24,0),MATCH($AQ41&amp;"-"&amp;$T41,Tables!$B$21:$J$21,0)),"—"))</f>
        <v/>
      </c>
      <c r="AT41" s="77" t="str">
        <f aca="false">IF($C41="","",IFERROR((3*$AP41/(2*PI()))^(1/3),"—"))</f>
        <v/>
      </c>
      <c r="AU41" s="78" t="str">
        <f aca="false">IF($C41="","",IFERROR(IF(ISNUMBER(SEARCH("Zone 0",IFERROR(LEFT($AS41,FIND("(",$AS41)-1),$AS41))),"Ga",IF(ISNUMBER(SEARCH("Zone 1",IFERROR(LEFT($AS41,FIND("(",$AS41)-1),$AS41))),"Gb",IF(ISNUMBER(SEARCH("Zone 2",IFERROR(LEFT($AS41,FIND("(",$AS41)-1),$AS41))),"Gc","None required"))),"—"))</f>
        <v/>
      </c>
      <c r="AV41" s="74" t="str">
        <f aca="false">IF($C41="","",IFERROR(IF($AU41="None required","—",$AB41&amp;" "&amp;INDEX(Tables!$B$31:$B$37,MATCH($AA41-0.001,Tables!$A$31:$A$37,1))),"—"))</f>
        <v/>
      </c>
      <c r="AW41" s="79" t="str">
        <f aca="false">IF($C41="","",TRIM(IF(IF(ISNUMBER($Z41),$H41&lt;$Z41-5,FALSE()),"Handled &gt;5°C below flash point — may not need zoning (unless mist/spray). ","")&amp;IF(IF(AND($D41="Pool evaporation",ISNUMBER($Y41)),$H41&gt;=$Y41,FALSE()),"Liquid at/above boiling point — pool equation not valid, treat as gas release. ","")&amp;IF(IF(AND($D41="Liquid jet",$M41="",ISNUMBER($Y41)),$H41&lt;$Y41,FALSE()),"Non-flashing liquid: vapour rate set to 0 — model the resulting pool on its own row. ","")&amp;IF(AND($D41="Gas/vapour jet",NOT(ISNUMBER($W41))),"No γ in library for this substance. ","")&amp;IF(IF(ISNUMBER($AC41),$AC41&gt;1.2,FALSE()),"Heavier than air — extend zone at low level / into pits and drains. ","")&amp;IF($AQ41="Low","Vz ≥ V0: ventilation cannot control the release — whole room affected. ","")&amp;IF(AND($F41="Indoor",OR($Q41="",$R41="")),"Indoor: enter room volume and air changes. ","")))</f>
        <v/>
      </c>
    </row>
    <row r="42" customFormat="false" ht="15" hidden="false" customHeight="false" outlineLevel="0" collapsed="false">
      <c r="A42" s="56"/>
      <c r="B42" s="57"/>
      <c r="C42" s="56"/>
      <c r="D42" s="56"/>
      <c r="E42" s="56"/>
      <c r="F42" s="56"/>
      <c r="G42" s="58"/>
      <c r="H42" s="59"/>
      <c r="I42" s="59"/>
      <c r="J42" s="60"/>
      <c r="K42" s="58"/>
      <c r="L42" s="58"/>
      <c r="M42" s="58"/>
      <c r="N42" s="58"/>
      <c r="O42" s="58"/>
      <c r="P42" s="58"/>
      <c r="Q42" s="61"/>
      <c r="R42" s="59"/>
      <c r="S42" s="59"/>
      <c r="T42" s="56"/>
      <c r="U42" s="62" t="str">
        <f aca="false">IF($C42="","",IFERROR(IF(INDEX(Substances!$C$2:$C$60,MATCH($C42,Substances!$A$2:$A$60,0))="","",INDEX(Substances!$C$2:$C$60,MATCH($C42,Substances!$A$2:$A$60,0))),"—"))</f>
        <v/>
      </c>
      <c r="V42" s="63" t="str">
        <f aca="false">IF($C42="","",IFERROR(IF(INDEX(Substances!$D$2:$D$60,MATCH($C42,Substances!$A$2:$A$60,0))="","",INDEX(Substances!$D$2:$D$60,MATCH($C42,Substances!$A$2:$A$60,0))),"—"))</f>
        <v/>
      </c>
      <c r="W42" s="62" t="str">
        <f aca="false">IF($C42="","",IFERROR(IF(INDEX(Substances!$F$2:$F$60,MATCH($C42,Substances!$A$2:$A$60,0))="","",INDEX(Substances!$F$2:$F$60,MATCH($C42,Substances!$A$2:$A$60,0))),"—"))</f>
        <v/>
      </c>
      <c r="X42" s="64" t="str">
        <f aca="false">IF($C42="","",IFERROR(IF(INDEX(Substances!$G$2:$G$60,MATCH($C42,Substances!$A$2:$A$60,0))="","",INDEX(Substances!$G$2:$G$60,MATCH($C42,Substances!$A$2:$A$60,0))),"—"))</f>
        <v/>
      </c>
      <c r="Y42" s="63" t="str">
        <f aca="false">IF($C42="","",IFERROR(IF(INDEX(Substances!$H$2:$H$60,MATCH($C42,Substances!$A$2:$A$60,0))="","",INDEX(Substances!$H$2:$H$60,MATCH($C42,Substances!$A$2:$A$60,0))),"—"))</f>
        <v/>
      </c>
      <c r="Z42" s="64" t="str">
        <f aca="false">IF($C42="","",IFERROR(IF(INDEX(Substances!$I$2:$I$60,MATCH($C42,Substances!$A$2:$A$60,0))="","",INDEX(Substances!$I$2:$I$60,MATCH($C42,Substances!$A$2:$A$60,0))),"—"))</f>
        <v/>
      </c>
      <c r="AA42" s="64" t="str">
        <f aca="false">IF($C42="","",IFERROR(IF(INDEX(Substances!$J$2:$J$60,MATCH($C42,Substances!$A$2:$A$60,0))="","",INDEX(Substances!$J$2:$J$60,MATCH($C42,Substances!$A$2:$A$60,0))),"—"))</f>
        <v/>
      </c>
      <c r="AB42" s="65" t="str">
        <f aca="false">IF($C42="","",IFERROR(IF(INDEX(Substances!$K$2:$K$60,MATCH($C42,Substances!$A$2:$A$60,0))="","",INDEX(Substances!$K$2:$K$60,MATCH($C42,Substances!$A$2:$A$60,0))),"—"))</f>
        <v/>
      </c>
      <c r="AC42" s="62" t="str">
        <f aca="false">IF($C42="","",IFERROR($U42/28.96,"—"))</f>
        <v/>
      </c>
      <c r="AD42" s="66" t="str">
        <f aca="false">IF($C42="","",IFERROR(N($G42)*100000+Tables!$B$4,"—"))</f>
        <v/>
      </c>
      <c r="AE42" s="67" t="str">
        <f aca="false">IF($C42="","",IFERROR($H42+273.15,"—"))</f>
        <v/>
      </c>
      <c r="AF42" s="67" t="str">
        <f aca="false">IF($C42="","",IFERROR($I42+273.15,"—"))</f>
        <v/>
      </c>
      <c r="AG42" s="66" t="str">
        <f aca="false">IF($C42="","",IFERROR(IF($D42="Gas/vapour jet",Tables!$B$4*(($W42+1)/2)^($W42/($W42-1)),"n/a"),"—"))</f>
        <v/>
      </c>
      <c r="AH42" s="68" t="str">
        <f aca="false">IF($C42="","",IFERROR(IF($D42="Gas/vapour jet",IF($AD42&gt;$AG42,"Choked","Subsonic"),"n/a"),"—"))</f>
        <v/>
      </c>
      <c r="AI42" s="69" t="str">
        <f aca="false">IF($C42="","",IFERROR(IF($D42="Gas/vapour jet","n/a",MIN(101.325,IF($P42&lt;&gt;"",$P42,IF(N(INDEX(Substances!$L$2:$L$60,MATCH($C42,Substances!$A$2:$A$60,0)))&lt;&gt;0,0.133322*10^(INDEX(Substances!$L$2:$L$60,MATCH($C42,Substances!$A$2:$A$60,0))-INDEX(Substances!$M$2:$M$60,MATCH($C42,Substances!$A$2:$A$60,0))/(INDEX(Substances!$N$2:$N$60,MATCH($C42,Substances!$A$2:$A$60,0))+$H42)),101.325*EXP(10.58*(1-($Y42+273.15)/$AE42)))))),"—"))</f>
        <v/>
      </c>
      <c r="AJ42" s="70" t="str">
        <f aca="false">IF($C42="","",IFERROR(IF($D42="Liquid jet",$K42*$J42*0.000001*SQRT(2*$X42*N($G42)*100000),"n/a"),"—"))</f>
        <v/>
      </c>
      <c r="AK42" s="71" t="str">
        <f aca="false">IF($C42="","",IFERROR(IF($D42="Gas/vapour jet",IF($AH42="Choked",$K42*$J42*0.000001*$AD42*SQRT($W42*$U42/($L42*Tables!$B$5*$AE42)*(2/($W42+1))^(($W42+1)/($W42-1))),$K42*$J42*0.000001*$AD42*SQRT($U42/($L42*Tables!$B$5*$AE42)*(2*$W42/($W42-1))*(1-(Tables!$B$4/$AD42)^(($W42-1)/$W42))*(Tables!$B$4/$AD42)^(2/$W42))),IF($D42="Liquid jet",$AJ42*IF($M42&lt;&gt;"",$M42,IF($H42&gt;=$Y42,1,0)),6.55*$O42^0.78*$N42*$AI42*$U42^0.667/(Tables!$B$5*$AE42))),"—"))</f>
        <v/>
      </c>
      <c r="AL42" s="72" t="str">
        <f aca="false">IF($C42="","",IFERROR(Tables!$B$10*$U42*$V42,"—"))</f>
        <v/>
      </c>
      <c r="AM42" s="69" t="str">
        <f aca="false">IF($C42="","",IFERROR(INDEX(Tables!$B$15:$B$17,MATCH($E42,Tables!$A$15:$A$17,0)),"—"))</f>
        <v/>
      </c>
      <c r="AN42" s="70" t="str">
        <f aca="false">IF($C42="","",IFERROR($AK42/($AM42*$AL42)*$AF42/Tables!$B$9,"—"))</f>
        <v/>
      </c>
      <c r="AO42" s="72" t="str">
        <f aca="false">IF($C42="","",IFERROR(IF($F42="Outdoor",Tables!$B$8,$R42/3600),"—"))</f>
        <v/>
      </c>
      <c r="AP42" s="73" t="str">
        <f aca="false">IF($C42="","",IFERROR($S42*$AN42/$AO42,"—"))</f>
        <v/>
      </c>
      <c r="AQ42" s="74" t="str">
        <f aca="false">IF($C42="","",IFERROR(IF($AP42&lt;Tables!$B$7,"High",IF($F42="Outdoor","Medium",IF($AP42&lt;$Q42,"Medium","Low"))),"—"))</f>
        <v/>
      </c>
      <c r="AR42" s="75" t="str">
        <f aca="false">IF($C42="","",IFERROR(-$S42/$AO42*LN($V42*$AM42/Tables!$B$6)/60,"—"))</f>
        <v/>
      </c>
      <c r="AS42" s="76" t="str">
        <f aca="false">IF($C42="","",IFERROR(INDEX(Tables!$B$22:$J$24,MATCH($E42,Tables!$A$22:$A$24,0),MATCH($AQ42&amp;"-"&amp;$T42,Tables!$B$21:$J$21,0)),"—"))</f>
        <v/>
      </c>
      <c r="AT42" s="77" t="str">
        <f aca="false">IF($C42="","",IFERROR((3*$AP42/(2*PI()))^(1/3),"—"))</f>
        <v/>
      </c>
      <c r="AU42" s="78" t="str">
        <f aca="false">IF($C42="","",IFERROR(IF(ISNUMBER(SEARCH("Zone 0",IFERROR(LEFT($AS42,FIND("(",$AS42)-1),$AS42))),"Ga",IF(ISNUMBER(SEARCH("Zone 1",IFERROR(LEFT($AS42,FIND("(",$AS42)-1),$AS42))),"Gb",IF(ISNUMBER(SEARCH("Zone 2",IFERROR(LEFT($AS42,FIND("(",$AS42)-1),$AS42))),"Gc","None required"))),"—"))</f>
        <v/>
      </c>
      <c r="AV42" s="74" t="str">
        <f aca="false">IF($C42="","",IFERROR(IF($AU42="None required","—",$AB42&amp;" "&amp;INDEX(Tables!$B$31:$B$37,MATCH($AA42-0.001,Tables!$A$31:$A$37,1))),"—"))</f>
        <v/>
      </c>
      <c r="AW42" s="79" t="str">
        <f aca="false">IF($C42="","",TRIM(IF(IF(ISNUMBER($Z42),$H42&lt;$Z42-5,FALSE()),"Handled &gt;5°C below flash point — may not need zoning (unless mist/spray). ","")&amp;IF(IF(AND($D42="Pool evaporation",ISNUMBER($Y42)),$H42&gt;=$Y42,FALSE()),"Liquid at/above boiling point — pool equation not valid, treat as gas release. ","")&amp;IF(IF(AND($D42="Liquid jet",$M42="",ISNUMBER($Y42)),$H42&lt;$Y42,FALSE()),"Non-flashing liquid: vapour rate set to 0 — model the resulting pool on its own row. ","")&amp;IF(AND($D42="Gas/vapour jet",NOT(ISNUMBER($W42))),"No γ in library for this substance. ","")&amp;IF(IF(ISNUMBER($AC42),$AC42&gt;1.2,FALSE()),"Heavier than air — extend zone at low level / into pits and drains. ","")&amp;IF($AQ42="Low","Vz ≥ V0: ventilation cannot control the release — whole room affected. ","")&amp;IF(AND($F42="Indoor",OR($Q42="",$R42="")),"Indoor: enter room volume and air changes. ","")))</f>
        <v/>
      </c>
    </row>
    <row r="43" customFormat="false" ht="15" hidden="false" customHeight="false" outlineLevel="0" collapsed="false">
      <c r="A43" s="56"/>
      <c r="B43" s="57"/>
      <c r="C43" s="56"/>
      <c r="D43" s="56"/>
      <c r="E43" s="56"/>
      <c r="F43" s="56"/>
      <c r="G43" s="58"/>
      <c r="H43" s="59"/>
      <c r="I43" s="59"/>
      <c r="J43" s="60"/>
      <c r="K43" s="58"/>
      <c r="L43" s="58"/>
      <c r="M43" s="58"/>
      <c r="N43" s="58"/>
      <c r="O43" s="58"/>
      <c r="P43" s="58"/>
      <c r="Q43" s="61"/>
      <c r="R43" s="59"/>
      <c r="S43" s="59"/>
      <c r="T43" s="56"/>
      <c r="U43" s="62" t="str">
        <f aca="false">IF($C43="","",IFERROR(IF(INDEX(Substances!$C$2:$C$60,MATCH($C43,Substances!$A$2:$A$60,0))="","",INDEX(Substances!$C$2:$C$60,MATCH($C43,Substances!$A$2:$A$60,0))),"—"))</f>
        <v/>
      </c>
      <c r="V43" s="63" t="str">
        <f aca="false">IF($C43="","",IFERROR(IF(INDEX(Substances!$D$2:$D$60,MATCH($C43,Substances!$A$2:$A$60,0))="","",INDEX(Substances!$D$2:$D$60,MATCH($C43,Substances!$A$2:$A$60,0))),"—"))</f>
        <v/>
      </c>
      <c r="W43" s="62" t="str">
        <f aca="false">IF($C43="","",IFERROR(IF(INDEX(Substances!$F$2:$F$60,MATCH($C43,Substances!$A$2:$A$60,0))="","",INDEX(Substances!$F$2:$F$60,MATCH($C43,Substances!$A$2:$A$60,0))),"—"))</f>
        <v/>
      </c>
      <c r="X43" s="64" t="str">
        <f aca="false">IF($C43="","",IFERROR(IF(INDEX(Substances!$G$2:$G$60,MATCH($C43,Substances!$A$2:$A$60,0))="","",INDEX(Substances!$G$2:$G$60,MATCH($C43,Substances!$A$2:$A$60,0))),"—"))</f>
        <v/>
      </c>
      <c r="Y43" s="63" t="str">
        <f aca="false">IF($C43="","",IFERROR(IF(INDEX(Substances!$H$2:$H$60,MATCH($C43,Substances!$A$2:$A$60,0))="","",INDEX(Substances!$H$2:$H$60,MATCH($C43,Substances!$A$2:$A$60,0))),"—"))</f>
        <v/>
      </c>
      <c r="Z43" s="64" t="str">
        <f aca="false">IF($C43="","",IFERROR(IF(INDEX(Substances!$I$2:$I$60,MATCH($C43,Substances!$A$2:$A$60,0))="","",INDEX(Substances!$I$2:$I$60,MATCH($C43,Substances!$A$2:$A$60,0))),"—"))</f>
        <v/>
      </c>
      <c r="AA43" s="64" t="str">
        <f aca="false">IF($C43="","",IFERROR(IF(INDEX(Substances!$J$2:$J$60,MATCH($C43,Substances!$A$2:$A$60,0))="","",INDEX(Substances!$J$2:$J$60,MATCH($C43,Substances!$A$2:$A$60,0))),"—"))</f>
        <v/>
      </c>
      <c r="AB43" s="65" t="str">
        <f aca="false">IF($C43="","",IFERROR(IF(INDEX(Substances!$K$2:$K$60,MATCH($C43,Substances!$A$2:$A$60,0))="","",INDEX(Substances!$K$2:$K$60,MATCH($C43,Substances!$A$2:$A$60,0))),"—"))</f>
        <v/>
      </c>
      <c r="AC43" s="62" t="str">
        <f aca="false">IF($C43="","",IFERROR($U43/28.96,"—"))</f>
        <v/>
      </c>
      <c r="AD43" s="66" t="str">
        <f aca="false">IF($C43="","",IFERROR(N($G43)*100000+Tables!$B$4,"—"))</f>
        <v/>
      </c>
      <c r="AE43" s="67" t="str">
        <f aca="false">IF($C43="","",IFERROR($H43+273.15,"—"))</f>
        <v/>
      </c>
      <c r="AF43" s="67" t="str">
        <f aca="false">IF($C43="","",IFERROR($I43+273.15,"—"))</f>
        <v/>
      </c>
      <c r="AG43" s="66" t="str">
        <f aca="false">IF($C43="","",IFERROR(IF($D43="Gas/vapour jet",Tables!$B$4*(($W43+1)/2)^($W43/($W43-1)),"n/a"),"—"))</f>
        <v/>
      </c>
      <c r="AH43" s="68" t="str">
        <f aca="false">IF($C43="","",IFERROR(IF($D43="Gas/vapour jet",IF($AD43&gt;$AG43,"Choked","Subsonic"),"n/a"),"—"))</f>
        <v/>
      </c>
      <c r="AI43" s="69" t="str">
        <f aca="false">IF($C43="","",IFERROR(IF($D43="Gas/vapour jet","n/a",MIN(101.325,IF($P43&lt;&gt;"",$P43,IF(N(INDEX(Substances!$L$2:$L$60,MATCH($C43,Substances!$A$2:$A$60,0)))&lt;&gt;0,0.133322*10^(INDEX(Substances!$L$2:$L$60,MATCH($C43,Substances!$A$2:$A$60,0))-INDEX(Substances!$M$2:$M$60,MATCH($C43,Substances!$A$2:$A$60,0))/(INDEX(Substances!$N$2:$N$60,MATCH($C43,Substances!$A$2:$A$60,0))+$H43)),101.325*EXP(10.58*(1-($Y43+273.15)/$AE43)))))),"—"))</f>
        <v/>
      </c>
      <c r="AJ43" s="70" t="str">
        <f aca="false">IF($C43="","",IFERROR(IF($D43="Liquid jet",$K43*$J43*0.000001*SQRT(2*$X43*N($G43)*100000),"n/a"),"—"))</f>
        <v/>
      </c>
      <c r="AK43" s="71" t="str">
        <f aca="false">IF($C43="","",IFERROR(IF($D43="Gas/vapour jet",IF($AH43="Choked",$K43*$J43*0.000001*$AD43*SQRT($W43*$U43/($L43*Tables!$B$5*$AE43)*(2/($W43+1))^(($W43+1)/($W43-1))),$K43*$J43*0.000001*$AD43*SQRT($U43/($L43*Tables!$B$5*$AE43)*(2*$W43/($W43-1))*(1-(Tables!$B$4/$AD43)^(($W43-1)/$W43))*(Tables!$B$4/$AD43)^(2/$W43))),IF($D43="Liquid jet",$AJ43*IF($M43&lt;&gt;"",$M43,IF($H43&gt;=$Y43,1,0)),6.55*$O43^0.78*$N43*$AI43*$U43^0.667/(Tables!$B$5*$AE43))),"—"))</f>
        <v/>
      </c>
      <c r="AL43" s="72" t="str">
        <f aca="false">IF($C43="","",IFERROR(Tables!$B$10*$U43*$V43,"—"))</f>
        <v/>
      </c>
      <c r="AM43" s="69" t="str">
        <f aca="false">IF($C43="","",IFERROR(INDEX(Tables!$B$15:$B$17,MATCH($E43,Tables!$A$15:$A$17,0)),"—"))</f>
        <v/>
      </c>
      <c r="AN43" s="70" t="str">
        <f aca="false">IF($C43="","",IFERROR($AK43/($AM43*$AL43)*$AF43/Tables!$B$9,"—"))</f>
        <v/>
      </c>
      <c r="AO43" s="72" t="str">
        <f aca="false">IF($C43="","",IFERROR(IF($F43="Outdoor",Tables!$B$8,$R43/3600),"—"))</f>
        <v/>
      </c>
      <c r="AP43" s="73" t="str">
        <f aca="false">IF($C43="","",IFERROR($S43*$AN43/$AO43,"—"))</f>
        <v/>
      </c>
      <c r="AQ43" s="74" t="str">
        <f aca="false">IF($C43="","",IFERROR(IF($AP43&lt;Tables!$B$7,"High",IF($F43="Outdoor","Medium",IF($AP43&lt;$Q43,"Medium","Low"))),"—"))</f>
        <v/>
      </c>
      <c r="AR43" s="75" t="str">
        <f aca="false">IF($C43="","",IFERROR(-$S43/$AO43*LN($V43*$AM43/Tables!$B$6)/60,"—"))</f>
        <v/>
      </c>
      <c r="AS43" s="76" t="str">
        <f aca="false">IF($C43="","",IFERROR(INDEX(Tables!$B$22:$J$24,MATCH($E43,Tables!$A$22:$A$24,0),MATCH($AQ43&amp;"-"&amp;$T43,Tables!$B$21:$J$21,0)),"—"))</f>
        <v/>
      </c>
      <c r="AT43" s="77" t="str">
        <f aca="false">IF($C43="","",IFERROR((3*$AP43/(2*PI()))^(1/3),"—"))</f>
        <v/>
      </c>
      <c r="AU43" s="78" t="str">
        <f aca="false">IF($C43="","",IFERROR(IF(ISNUMBER(SEARCH("Zone 0",IFERROR(LEFT($AS43,FIND("(",$AS43)-1),$AS43))),"Ga",IF(ISNUMBER(SEARCH("Zone 1",IFERROR(LEFT($AS43,FIND("(",$AS43)-1),$AS43))),"Gb",IF(ISNUMBER(SEARCH("Zone 2",IFERROR(LEFT($AS43,FIND("(",$AS43)-1),$AS43))),"Gc","None required"))),"—"))</f>
        <v/>
      </c>
      <c r="AV43" s="74" t="str">
        <f aca="false">IF($C43="","",IFERROR(IF($AU43="None required","—",$AB43&amp;" "&amp;INDEX(Tables!$B$31:$B$37,MATCH($AA43-0.001,Tables!$A$31:$A$37,1))),"—"))</f>
        <v/>
      </c>
      <c r="AW43" s="79" t="str">
        <f aca="false">IF($C43="","",TRIM(IF(IF(ISNUMBER($Z43),$H43&lt;$Z43-5,FALSE()),"Handled &gt;5°C below flash point — may not need zoning (unless mist/spray). ","")&amp;IF(IF(AND($D43="Pool evaporation",ISNUMBER($Y43)),$H43&gt;=$Y43,FALSE()),"Liquid at/above boiling point — pool equation not valid, treat as gas release. ","")&amp;IF(IF(AND($D43="Liquid jet",$M43="",ISNUMBER($Y43)),$H43&lt;$Y43,FALSE()),"Non-flashing liquid: vapour rate set to 0 — model the resulting pool on its own row. ","")&amp;IF(AND($D43="Gas/vapour jet",NOT(ISNUMBER($W43))),"No γ in library for this substance. ","")&amp;IF(IF(ISNUMBER($AC43),$AC43&gt;1.2,FALSE()),"Heavier than air — extend zone at low level / into pits and drains. ","")&amp;IF($AQ43="Low","Vz ≥ V0: ventilation cannot control the release — whole room affected. ","")&amp;IF(AND($F43="Indoor",OR($Q43="",$R43="")),"Indoor: enter room volume and air changes. ","")))</f>
        <v/>
      </c>
    </row>
    <row r="44" customFormat="false" ht="15" hidden="false" customHeight="false" outlineLevel="0" collapsed="false">
      <c r="A44" s="56"/>
      <c r="B44" s="57"/>
      <c r="C44" s="56"/>
      <c r="D44" s="56"/>
      <c r="E44" s="56"/>
      <c r="F44" s="56"/>
      <c r="G44" s="58"/>
      <c r="H44" s="59"/>
      <c r="I44" s="59"/>
      <c r="J44" s="60"/>
      <c r="K44" s="58"/>
      <c r="L44" s="58"/>
      <c r="M44" s="58"/>
      <c r="N44" s="58"/>
      <c r="O44" s="58"/>
      <c r="P44" s="58"/>
      <c r="Q44" s="61"/>
      <c r="R44" s="59"/>
      <c r="S44" s="59"/>
      <c r="T44" s="56"/>
      <c r="U44" s="62" t="str">
        <f aca="false">IF($C44="","",IFERROR(IF(INDEX(Substances!$C$2:$C$60,MATCH($C44,Substances!$A$2:$A$60,0))="","",INDEX(Substances!$C$2:$C$60,MATCH($C44,Substances!$A$2:$A$60,0))),"—"))</f>
        <v/>
      </c>
      <c r="V44" s="63" t="str">
        <f aca="false">IF($C44="","",IFERROR(IF(INDEX(Substances!$D$2:$D$60,MATCH($C44,Substances!$A$2:$A$60,0))="","",INDEX(Substances!$D$2:$D$60,MATCH($C44,Substances!$A$2:$A$60,0))),"—"))</f>
        <v/>
      </c>
      <c r="W44" s="62" t="str">
        <f aca="false">IF($C44="","",IFERROR(IF(INDEX(Substances!$F$2:$F$60,MATCH($C44,Substances!$A$2:$A$60,0))="","",INDEX(Substances!$F$2:$F$60,MATCH($C44,Substances!$A$2:$A$60,0))),"—"))</f>
        <v/>
      </c>
      <c r="X44" s="64" t="str">
        <f aca="false">IF($C44="","",IFERROR(IF(INDEX(Substances!$G$2:$G$60,MATCH($C44,Substances!$A$2:$A$60,0))="","",INDEX(Substances!$G$2:$G$60,MATCH($C44,Substances!$A$2:$A$60,0))),"—"))</f>
        <v/>
      </c>
      <c r="Y44" s="63" t="str">
        <f aca="false">IF($C44="","",IFERROR(IF(INDEX(Substances!$H$2:$H$60,MATCH($C44,Substances!$A$2:$A$60,0))="","",INDEX(Substances!$H$2:$H$60,MATCH($C44,Substances!$A$2:$A$60,0))),"—"))</f>
        <v/>
      </c>
      <c r="Z44" s="64" t="str">
        <f aca="false">IF($C44="","",IFERROR(IF(INDEX(Substances!$I$2:$I$60,MATCH($C44,Substances!$A$2:$A$60,0))="","",INDEX(Substances!$I$2:$I$60,MATCH($C44,Substances!$A$2:$A$60,0))),"—"))</f>
        <v/>
      </c>
      <c r="AA44" s="64" t="str">
        <f aca="false">IF($C44="","",IFERROR(IF(INDEX(Substances!$J$2:$J$60,MATCH($C44,Substances!$A$2:$A$60,0))="","",INDEX(Substances!$J$2:$J$60,MATCH($C44,Substances!$A$2:$A$60,0))),"—"))</f>
        <v/>
      </c>
      <c r="AB44" s="65" t="str">
        <f aca="false">IF($C44="","",IFERROR(IF(INDEX(Substances!$K$2:$K$60,MATCH($C44,Substances!$A$2:$A$60,0))="","",INDEX(Substances!$K$2:$K$60,MATCH($C44,Substances!$A$2:$A$60,0))),"—"))</f>
        <v/>
      </c>
      <c r="AC44" s="62" t="str">
        <f aca="false">IF($C44="","",IFERROR($U44/28.96,"—"))</f>
        <v/>
      </c>
      <c r="AD44" s="66" t="str">
        <f aca="false">IF($C44="","",IFERROR(N($G44)*100000+Tables!$B$4,"—"))</f>
        <v/>
      </c>
      <c r="AE44" s="67" t="str">
        <f aca="false">IF($C44="","",IFERROR($H44+273.15,"—"))</f>
        <v/>
      </c>
      <c r="AF44" s="67" t="str">
        <f aca="false">IF($C44="","",IFERROR($I44+273.15,"—"))</f>
        <v/>
      </c>
      <c r="AG44" s="66" t="str">
        <f aca="false">IF($C44="","",IFERROR(IF($D44="Gas/vapour jet",Tables!$B$4*(($W44+1)/2)^($W44/($W44-1)),"n/a"),"—"))</f>
        <v/>
      </c>
      <c r="AH44" s="68" t="str">
        <f aca="false">IF($C44="","",IFERROR(IF($D44="Gas/vapour jet",IF($AD44&gt;$AG44,"Choked","Subsonic"),"n/a"),"—"))</f>
        <v/>
      </c>
      <c r="AI44" s="69" t="str">
        <f aca="false">IF($C44="","",IFERROR(IF($D44="Gas/vapour jet","n/a",MIN(101.325,IF($P44&lt;&gt;"",$P44,IF(N(INDEX(Substances!$L$2:$L$60,MATCH($C44,Substances!$A$2:$A$60,0)))&lt;&gt;0,0.133322*10^(INDEX(Substances!$L$2:$L$60,MATCH($C44,Substances!$A$2:$A$60,0))-INDEX(Substances!$M$2:$M$60,MATCH($C44,Substances!$A$2:$A$60,0))/(INDEX(Substances!$N$2:$N$60,MATCH($C44,Substances!$A$2:$A$60,0))+$H44)),101.325*EXP(10.58*(1-($Y44+273.15)/$AE44)))))),"—"))</f>
        <v/>
      </c>
      <c r="AJ44" s="70" t="str">
        <f aca="false">IF($C44="","",IFERROR(IF($D44="Liquid jet",$K44*$J44*0.000001*SQRT(2*$X44*N($G44)*100000),"n/a"),"—"))</f>
        <v/>
      </c>
      <c r="AK44" s="71" t="str">
        <f aca="false">IF($C44="","",IFERROR(IF($D44="Gas/vapour jet",IF($AH44="Choked",$K44*$J44*0.000001*$AD44*SQRT($W44*$U44/($L44*Tables!$B$5*$AE44)*(2/($W44+1))^(($W44+1)/($W44-1))),$K44*$J44*0.000001*$AD44*SQRT($U44/($L44*Tables!$B$5*$AE44)*(2*$W44/($W44-1))*(1-(Tables!$B$4/$AD44)^(($W44-1)/$W44))*(Tables!$B$4/$AD44)^(2/$W44))),IF($D44="Liquid jet",$AJ44*IF($M44&lt;&gt;"",$M44,IF($H44&gt;=$Y44,1,0)),6.55*$O44^0.78*$N44*$AI44*$U44^0.667/(Tables!$B$5*$AE44))),"—"))</f>
        <v/>
      </c>
      <c r="AL44" s="72" t="str">
        <f aca="false">IF($C44="","",IFERROR(Tables!$B$10*$U44*$V44,"—"))</f>
        <v/>
      </c>
      <c r="AM44" s="69" t="str">
        <f aca="false">IF($C44="","",IFERROR(INDEX(Tables!$B$15:$B$17,MATCH($E44,Tables!$A$15:$A$17,0)),"—"))</f>
        <v/>
      </c>
      <c r="AN44" s="70" t="str">
        <f aca="false">IF($C44="","",IFERROR($AK44/($AM44*$AL44)*$AF44/Tables!$B$9,"—"))</f>
        <v/>
      </c>
      <c r="AO44" s="72" t="str">
        <f aca="false">IF($C44="","",IFERROR(IF($F44="Outdoor",Tables!$B$8,$R44/3600),"—"))</f>
        <v/>
      </c>
      <c r="AP44" s="73" t="str">
        <f aca="false">IF($C44="","",IFERROR($S44*$AN44/$AO44,"—"))</f>
        <v/>
      </c>
      <c r="AQ44" s="74" t="str">
        <f aca="false">IF($C44="","",IFERROR(IF($AP44&lt;Tables!$B$7,"High",IF($F44="Outdoor","Medium",IF($AP44&lt;$Q44,"Medium","Low"))),"—"))</f>
        <v/>
      </c>
      <c r="AR44" s="75" t="str">
        <f aca="false">IF($C44="","",IFERROR(-$S44/$AO44*LN($V44*$AM44/Tables!$B$6)/60,"—"))</f>
        <v/>
      </c>
      <c r="AS44" s="76" t="str">
        <f aca="false">IF($C44="","",IFERROR(INDEX(Tables!$B$22:$J$24,MATCH($E44,Tables!$A$22:$A$24,0),MATCH($AQ44&amp;"-"&amp;$T44,Tables!$B$21:$J$21,0)),"—"))</f>
        <v/>
      </c>
      <c r="AT44" s="77" t="str">
        <f aca="false">IF($C44="","",IFERROR((3*$AP44/(2*PI()))^(1/3),"—"))</f>
        <v/>
      </c>
      <c r="AU44" s="78" t="str">
        <f aca="false">IF($C44="","",IFERROR(IF(ISNUMBER(SEARCH("Zone 0",IFERROR(LEFT($AS44,FIND("(",$AS44)-1),$AS44))),"Ga",IF(ISNUMBER(SEARCH("Zone 1",IFERROR(LEFT($AS44,FIND("(",$AS44)-1),$AS44))),"Gb",IF(ISNUMBER(SEARCH("Zone 2",IFERROR(LEFT($AS44,FIND("(",$AS44)-1),$AS44))),"Gc","None required"))),"—"))</f>
        <v/>
      </c>
      <c r="AV44" s="74" t="str">
        <f aca="false">IF($C44="","",IFERROR(IF($AU44="None required","—",$AB44&amp;" "&amp;INDEX(Tables!$B$31:$B$37,MATCH($AA44-0.001,Tables!$A$31:$A$37,1))),"—"))</f>
        <v/>
      </c>
      <c r="AW44" s="79" t="str">
        <f aca="false">IF($C44="","",TRIM(IF(IF(ISNUMBER($Z44),$H44&lt;$Z44-5,FALSE()),"Handled &gt;5°C below flash point — may not need zoning (unless mist/spray). ","")&amp;IF(IF(AND($D44="Pool evaporation",ISNUMBER($Y44)),$H44&gt;=$Y44,FALSE()),"Liquid at/above boiling point — pool equation not valid, treat as gas release. ","")&amp;IF(IF(AND($D44="Liquid jet",$M44="",ISNUMBER($Y44)),$H44&lt;$Y44,FALSE()),"Non-flashing liquid: vapour rate set to 0 — model the resulting pool on its own row. ","")&amp;IF(AND($D44="Gas/vapour jet",NOT(ISNUMBER($W44))),"No γ in library for this substance. ","")&amp;IF(IF(ISNUMBER($AC44),$AC44&gt;1.2,FALSE()),"Heavier than air — extend zone at low level / into pits and drains. ","")&amp;IF($AQ44="Low","Vz ≥ V0: ventilation cannot control the release — whole room affected. ","")&amp;IF(AND($F44="Indoor",OR($Q44="",$R44="")),"Indoor: enter room volume and air changes. ","")))</f>
        <v/>
      </c>
    </row>
    <row r="45" customFormat="false" ht="15" hidden="false" customHeight="false" outlineLevel="0" collapsed="false">
      <c r="A45" s="56"/>
      <c r="B45" s="57"/>
      <c r="C45" s="56"/>
      <c r="D45" s="56"/>
      <c r="E45" s="56"/>
      <c r="F45" s="56"/>
      <c r="G45" s="58"/>
      <c r="H45" s="59"/>
      <c r="I45" s="59"/>
      <c r="J45" s="60"/>
      <c r="K45" s="58"/>
      <c r="L45" s="58"/>
      <c r="M45" s="58"/>
      <c r="N45" s="58"/>
      <c r="O45" s="58"/>
      <c r="P45" s="58"/>
      <c r="Q45" s="61"/>
      <c r="R45" s="59"/>
      <c r="S45" s="59"/>
      <c r="T45" s="56"/>
      <c r="U45" s="62" t="str">
        <f aca="false">IF($C45="","",IFERROR(IF(INDEX(Substances!$C$2:$C$60,MATCH($C45,Substances!$A$2:$A$60,0))="","",INDEX(Substances!$C$2:$C$60,MATCH($C45,Substances!$A$2:$A$60,0))),"—"))</f>
        <v/>
      </c>
      <c r="V45" s="63" t="str">
        <f aca="false">IF($C45="","",IFERROR(IF(INDEX(Substances!$D$2:$D$60,MATCH($C45,Substances!$A$2:$A$60,0))="","",INDEX(Substances!$D$2:$D$60,MATCH($C45,Substances!$A$2:$A$60,0))),"—"))</f>
        <v/>
      </c>
      <c r="W45" s="62" t="str">
        <f aca="false">IF($C45="","",IFERROR(IF(INDEX(Substances!$F$2:$F$60,MATCH($C45,Substances!$A$2:$A$60,0))="","",INDEX(Substances!$F$2:$F$60,MATCH($C45,Substances!$A$2:$A$60,0))),"—"))</f>
        <v/>
      </c>
      <c r="X45" s="64" t="str">
        <f aca="false">IF($C45="","",IFERROR(IF(INDEX(Substances!$G$2:$G$60,MATCH($C45,Substances!$A$2:$A$60,0))="","",INDEX(Substances!$G$2:$G$60,MATCH($C45,Substances!$A$2:$A$60,0))),"—"))</f>
        <v/>
      </c>
      <c r="Y45" s="63" t="str">
        <f aca="false">IF($C45="","",IFERROR(IF(INDEX(Substances!$H$2:$H$60,MATCH($C45,Substances!$A$2:$A$60,0))="","",INDEX(Substances!$H$2:$H$60,MATCH($C45,Substances!$A$2:$A$60,0))),"—"))</f>
        <v/>
      </c>
      <c r="Z45" s="64" t="str">
        <f aca="false">IF($C45="","",IFERROR(IF(INDEX(Substances!$I$2:$I$60,MATCH($C45,Substances!$A$2:$A$60,0))="","",INDEX(Substances!$I$2:$I$60,MATCH($C45,Substances!$A$2:$A$60,0))),"—"))</f>
        <v/>
      </c>
      <c r="AA45" s="64" t="str">
        <f aca="false">IF($C45="","",IFERROR(IF(INDEX(Substances!$J$2:$J$60,MATCH($C45,Substances!$A$2:$A$60,0))="","",INDEX(Substances!$J$2:$J$60,MATCH($C45,Substances!$A$2:$A$60,0))),"—"))</f>
        <v/>
      </c>
      <c r="AB45" s="65" t="str">
        <f aca="false">IF($C45="","",IFERROR(IF(INDEX(Substances!$K$2:$K$60,MATCH($C45,Substances!$A$2:$A$60,0))="","",INDEX(Substances!$K$2:$K$60,MATCH($C45,Substances!$A$2:$A$60,0))),"—"))</f>
        <v/>
      </c>
      <c r="AC45" s="62" t="str">
        <f aca="false">IF($C45="","",IFERROR($U45/28.96,"—"))</f>
        <v/>
      </c>
      <c r="AD45" s="66" t="str">
        <f aca="false">IF($C45="","",IFERROR(N($G45)*100000+Tables!$B$4,"—"))</f>
        <v/>
      </c>
      <c r="AE45" s="67" t="str">
        <f aca="false">IF($C45="","",IFERROR($H45+273.15,"—"))</f>
        <v/>
      </c>
      <c r="AF45" s="67" t="str">
        <f aca="false">IF($C45="","",IFERROR($I45+273.15,"—"))</f>
        <v/>
      </c>
      <c r="AG45" s="66" t="str">
        <f aca="false">IF($C45="","",IFERROR(IF($D45="Gas/vapour jet",Tables!$B$4*(($W45+1)/2)^($W45/($W45-1)),"n/a"),"—"))</f>
        <v/>
      </c>
      <c r="AH45" s="68" t="str">
        <f aca="false">IF($C45="","",IFERROR(IF($D45="Gas/vapour jet",IF($AD45&gt;$AG45,"Choked","Subsonic"),"n/a"),"—"))</f>
        <v/>
      </c>
      <c r="AI45" s="69" t="str">
        <f aca="false">IF($C45="","",IFERROR(IF($D45="Gas/vapour jet","n/a",MIN(101.325,IF($P45&lt;&gt;"",$P45,IF(N(INDEX(Substances!$L$2:$L$60,MATCH($C45,Substances!$A$2:$A$60,0)))&lt;&gt;0,0.133322*10^(INDEX(Substances!$L$2:$L$60,MATCH($C45,Substances!$A$2:$A$60,0))-INDEX(Substances!$M$2:$M$60,MATCH($C45,Substances!$A$2:$A$60,0))/(INDEX(Substances!$N$2:$N$60,MATCH($C45,Substances!$A$2:$A$60,0))+$H45)),101.325*EXP(10.58*(1-($Y45+273.15)/$AE45)))))),"—"))</f>
        <v/>
      </c>
      <c r="AJ45" s="70" t="str">
        <f aca="false">IF($C45="","",IFERROR(IF($D45="Liquid jet",$K45*$J45*0.000001*SQRT(2*$X45*N($G45)*100000),"n/a"),"—"))</f>
        <v/>
      </c>
      <c r="AK45" s="71" t="str">
        <f aca="false">IF($C45="","",IFERROR(IF($D45="Gas/vapour jet",IF($AH45="Choked",$K45*$J45*0.000001*$AD45*SQRT($W45*$U45/($L45*Tables!$B$5*$AE45)*(2/($W45+1))^(($W45+1)/($W45-1))),$K45*$J45*0.000001*$AD45*SQRT($U45/($L45*Tables!$B$5*$AE45)*(2*$W45/($W45-1))*(1-(Tables!$B$4/$AD45)^(($W45-1)/$W45))*(Tables!$B$4/$AD45)^(2/$W45))),IF($D45="Liquid jet",$AJ45*IF($M45&lt;&gt;"",$M45,IF($H45&gt;=$Y45,1,0)),6.55*$O45^0.78*$N45*$AI45*$U45^0.667/(Tables!$B$5*$AE45))),"—"))</f>
        <v/>
      </c>
      <c r="AL45" s="72" t="str">
        <f aca="false">IF($C45="","",IFERROR(Tables!$B$10*$U45*$V45,"—"))</f>
        <v/>
      </c>
      <c r="AM45" s="69" t="str">
        <f aca="false">IF($C45="","",IFERROR(INDEX(Tables!$B$15:$B$17,MATCH($E45,Tables!$A$15:$A$17,0)),"—"))</f>
        <v/>
      </c>
      <c r="AN45" s="70" t="str">
        <f aca="false">IF($C45="","",IFERROR($AK45/($AM45*$AL45)*$AF45/Tables!$B$9,"—"))</f>
        <v/>
      </c>
      <c r="AO45" s="72" t="str">
        <f aca="false">IF($C45="","",IFERROR(IF($F45="Outdoor",Tables!$B$8,$R45/3600),"—"))</f>
        <v/>
      </c>
      <c r="AP45" s="73" t="str">
        <f aca="false">IF($C45="","",IFERROR($S45*$AN45/$AO45,"—"))</f>
        <v/>
      </c>
      <c r="AQ45" s="74" t="str">
        <f aca="false">IF($C45="","",IFERROR(IF($AP45&lt;Tables!$B$7,"High",IF($F45="Outdoor","Medium",IF($AP45&lt;$Q45,"Medium","Low"))),"—"))</f>
        <v/>
      </c>
      <c r="AR45" s="75" t="str">
        <f aca="false">IF($C45="","",IFERROR(-$S45/$AO45*LN($V45*$AM45/Tables!$B$6)/60,"—"))</f>
        <v/>
      </c>
      <c r="AS45" s="76" t="str">
        <f aca="false">IF($C45="","",IFERROR(INDEX(Tables!$B$22:$J$24,MATCH($E45,Tables!$A$22:$A$24,0),MATCH($AQ45&amp;"-"&amp;$T45,Tables!$B$21:$J$21,0)),"—"))</f>
        <v/>
      </c>
      <c r="AT45" s="77" t="str">
        <f aca="false">IF($C45="","",IFERROR((3*$AP45/(2*PI()))^(1/3),"—"))</f>
        <v/>
      </c>
      <c r="AU45" s="78" t="str">
        <f aca="false">IF($C45="","",IFERROR(IF(ISNUMBER(SEARCH("Zone 0",IFERROR(LEFT($AS45,FIND("(",$AS45)-1),$AS45))),"Ga",IF(ISNUMBER(SEARCH("Zone 1",IFERROR(LEFT($AS45,FIND("(",$AS45)-1),$AS45))),"Gb",IF(ISNUMBER(SEARCH("Zone 2",IFERROR(LEFT($AS45,FIND("(",$AS45)-1),$AS45))),"Gc","None required"))),"—"))</f>
        <v/>
      </c>
      <c r="AV45" s="74" t="str">
        <f aca="false">IF($C45="","",IFERROR(IF($AU45="None required","—",$AB45&amp;" "&amp;INDEX(Tables!$B$31:$B$37,MATCH($AA45-0.001,Tables!$A$31:$A$37,1))),"—"))</f>
        <v/>
      </c>
      <c r="AW45" s="79" t="str">
        <f aca="false">IF($C45="","",TRIM(IF(IF(ISNUMBER($Z45),$H45&lt;$Z45-5,FALSE()),"Handled &gt;5°C below flash point — may not need zoning (unless mist/spray). ","")&amp;IF(IF(AND($D45="Pool evaporation",ISNUMBER($Y45)),$H45&gt;=$Y45,FALSE()),"Liquid at/above boiling point — pool equation not valid, treat as gas release. ","")&amp;IF(IF(AND($D45="Liquid jet",$M45="",ISNUMBER($Y45)),$H45&lt;$Y45,FALSE()),"Non-flashing liquid: vapour rate set to 0 — model the resulting pool on its own row. ","")&amp;IF(AND($D45="Gas/vapour jet",NOT(ISNUMBER($W45))),"No γ in library for this substance. ","")&amp;IF(IF(ISNUMBER($AC45),$AC45&gt;1.2,FALSE()),"Heavier than air — extend zone at low level / into pits and drains. ","")&amp;IF($AQ45="Low","Vz ≥ V0: ventilation cannot control the release — whole room affected. ","")&amp;IF(AND($F45="Indoor",OR($Q45="",$R45="")),"Indoor: enter room volume and air changes. ","")))</f>
        <v/>
      </c>
    </row>
    <row r="46" customFormat="false" ht="15" hidden="false" customHeight="false" outlineLevel="0" collapsed="false">
      <c r="A46" s="56"/>
      <c r="B46" s="57"/>
      <c r="C46" s="56"/>
      <c r="D46" s="56"/>
      <c r="E46" s="56"/>
      <c r="F46" s="56"/>
      <c r="G46" s="58"/>
      <c r="H46" s="59"/>
      <c r="I46" s="59"/>
      <c r="J46" s="60"/>
      <c r="K46" s="58"/>
      <c r="L46" s="58"/>
      <c r="M46" s="58"/>
      <c r="N46" s="58"/>
      <c r="O46" s="58"/>
      <c r="P46" s="58"/>
      <c r="Q46" s="61"/>
      <c r="R46" s="59"/>
      <c r="S46" s="59"/>
      <c r="T46" s="56"/>
      <c r="U46" s="62" t="str">
        <f aca="false">IF($C46="","",IFERROR(IF(INDEX(Substances!$C$2:$C$60,MATCH($C46,Substances!$A$2:$A$60,0))="","",INDEX(Substances!$C$2:$C$60,MATCH($C46,Substances!$A$2:$A$60,0))),"—"))</f>
        <v/>
      </c>
      <c r="V46" s="63" t="str">
        <f aca="false">IF($C46="","",IFERROR(IF(INDEX(Substances!$D$2:$D$60,MATCH($C46,Substances!$A$2:$A$60,0))="","",INDEX(Substances!$D$2:$D$60,MATCH($C46,Substances!$A$2:$A$60,0))),"—"))</f>
        <v/>
      </c>
      <c r="W46" s="62" t="str">
        <f aca="false">IF($C46="","",IFERROR(IF(INDEX(Substances!$F$2:$F$60,MATCH($C46,Substances!$A$2:$A$60,0))="","",INDEX(Substances!$F$2:$F$60,MATCH($C46,Substances!$A$2:$A$60,0))),"—"))</f>
        <v/>
      </c>
      <c r="X46" s="64" t="str">
        <f aca="false">IF($C46="","",IFERROR(IF(INDEX(Substances!$G$2:$G$60,MATCH($C46,Substances!$A$2:$A$60,0))="","",INDEX(Substances!$G$2:$G$60,MATCH($C46,Substances!$A$2:$A$60,0))),"—"))</f>
        <v/>
      </c>
      <c r="Y46" s="63" t="str">
        <f aca="false">IF($C46="","",IFERROR(IF(INDEX(Substances!$H$2:$H$60,MATCH($C46,Substances!$A$2:$A$60,0))="","",INDEX(Substances!$H$2:$H$60,MATCH($C46,Substances!$A$2:$A$60,0))),"—"))</f>
        <v/>
      </c>
      <c r="Z46" s="64" t="str">
        <f aca="false">IF($C46="","",IFERROR(IF(INDEX(Substances!$I$2:$I$60,MATCH($C46,Substances!$A$2:$A$60,0))="","",INDEX(Substances!$I$2:$I$60,MATCH($C46,Substances!$A$2:$A$60,0))),"—"))</f>
        <v/>
      </c>
      <c r="AA46" s="64" t="str">
        <f aca="false">IF($C46="","",IFERROR(IF(INDEX(Substances!$J$2:$J$60,MATCH($C46,Substances!$A$2:$A$60,0))="","",INDEX(Substances!$J$2:$J$60,MATCH($C46,Substances!$A$2:$A$60,0))),"—"))</f>
        <v/>
      </c>
      <c r="AB46" s="65" t="str">
        <f aca="false">IF($C46="","",IFERROR(IF(INDEX(Substances!$K$2:$K$60,MATCH($C46,Substances!$A$2:$A$60,0))="","",INDEX(Substances!$K$2:$K$60,MATCH($C46,Substances!$A$2:$A$60,0))),"—"))</f>
        <v/>
      </c>
      <c r="AC46" s="62" t="str">
        <f aca="false">IF($C46="","",IFERROR($U46/28.96,"—"))</f>
        <v/>
      </c>
      <c r="AD46" s="66" t="str">
        <f aca="false">IF($C46="","",IFERROR(N($G46)*100000+Tables!$B$4,"—"))</f>
        <v/>
      </c>
      <c r="AE46" s="67" t="str">
        <f aca="false">IF($C46="","",IFERROR($H46+273.15,"—"))</f>
        <v/>
      </c>
      <c r="AF46" s="67" t="str">
        <f aca="false">IF($C46="","",IFERROR($I46+273.15,"—"))</f>
        <v/>
      </c>
      <c r="AG46" s="66" t="str">
        <f aca="false">IF($C46="","",IFERROR(IF($D46="Gas/vapour jet",Tables!$B$4*(($W46+1)/2)^($W46/($W46-1)),"n/a"),"—"))</f>
        <v/>
      </c>
      <c r="AH46" s="68" t="str">
        <f aca="false">IF($C46="","",IFERROR(IF($D46="Gas/vapour jet",IF($AD46&gt;$AG46,"Choked","Subsonic"),"n/a"),"—"))</f>
        <v/>
      </c>
      <c r="AI46" s="69" t="str">
        <f aca="false">IF($C46="","",IFERROR(IF($D46="Gas/vapour jet","n/a",MIN(101.325,IF($P46&lt;&gt;"",$P46,IF(N(INDEX(Substances!$L$2:$L$60,MATCH($C46,Substances!$A$2:$A$60,0)))&lt;&gt;0,0.133322*10^(INDEX(Substances!$L$2:$L$60,MATCH($C46,Substances!$A$2:$A$60,0))-INDEX(Substances!$M$2:$M$60,MATCH($C46,Substances!$A$2:$A$60,0))/(INDEX(Substances!$N$2:$N$60,MATCH($C46,Substances!$A$2:$A$60,0))+$H46)),101.325*EXP(10.58*(1-($Y46+273.15)/$AE46)))))),"—"))</f>
        <v/>
      </c>
      <c r="AJ46" s="70" t="str">
        <f aca="false">IF($C46="","",IFERROR(IF($D46="Liquid jet",$K46*$J46*0.000001*SQRT(2*$X46*N($G46)*100000),"n/a"),"—"))</f>
        <v/>
      </c>
      <c r="AK46" s="71" t="str">
        <f aca="false">IF($C46="","",IFERROR(IF($D46="Gas/vapour jet",IF($AH46="Choked",$K46*$J46*0.000001*$AD46*SQRT($W46*$U46/($L46*Tables!$B$5*$AE46)*(2/($W46+1))^(($W46+1)/($W46-1))),$K46*$J46*0.000001*$AD46*SQRT($U46/($L46*Tables!$B$5*$AE46)*(2*$W46/($W46-1))*(1-(Tables!$B$4/$AD46)^(($W46-1)/$W46))*(Tables!$B$4/$AD46)^(2/$W46))),IF($D46="Liquid jet",$AJ46*IF($M46&lt;&gt;"",$M46,IF($H46&gt;=$Y46,1,0)),6.55*$O46^0.78*$N46*$AI46*$U46^0.667/(Tables!$B$5*$AE46))),"—"))</f>
        <v/>
      </c>
      <c r="AL46" s="72" t="str">
        <f aca="false">IF($C46="","",IFERROR(Tables!$B$10*$U46*$V46,"—"))</f>
        <v/>
      </c>
      <c r="AM46" s="69" t="str">
        <f aca="false">IF($C46="","",IFERROR(INDEX(Tables!$B$15:$B$17,MATCH($E46,Tables!$A$15:$A$17,0)),"—"))</f>
        <v/>
      </c>
      <c r="AN46" s="70" t="str">
        <f aca="false">IF($C46="","",IFERROR($AK46/($AM46*$AL46)*$AF46/Tables!$B$9,"—"))</f>
        <v/>
      </c>
      <c r="AO46" s="72" t="str">
        <f aca="false">IF($C46="","",IFERROR(IF($F46="Outdoor",Tables!$B$8,$R46/3600),"—"))</f>
        <v/>
      </c>
      <c r="AP46" s="73" t="str">
        <f aca="false">IF($C46="","",IFERROR($S46*$AN46/$AO46,"—"))</f>
        <v/>
      </c>
      <c r="AQ46" s="74" t="str">
        <f aca="false">IF($C46="","",IFERROR(IF($AP46&lt;Tables!$B$7,"High",IF($F46="Outdoor","Medium",IF($AP46&lt;$Q46,"Medium","Low"))),"—"))</f>
        <v/>
      </c>
      <c r="AR46" s="75" t="str">
        <f aca="false">IF($C46="","",IFERROR(-$S46/$AO46*LN($V46*$AM46/Tables!$B$6)/60,"—"))</f>
        <v/>
      </c>
      <c r="AS46" s="76" t="str">
        <f aca="false">IF($C46="","",IFERROR(INDEX(Tables!$B$22:$J$24,MATCH($E46,Tables!$A$22:$A$24,0),MATCH($AQ46&amp;"-"&amp;$T46,Tables!$B$21:$J$21,0)),"—"))</f>
        <v/>
      </c>
      <c r="AT46" s="77" t="str">
        <f aca="false">IF($C46="","",IFERROR((3*$AP46/(2*PI()))^(1/3),"—"))</f>
        <v/>
      </c>
      <c r="AU46" s="78" t="str">
        <f aca="false">IF($C46="","",IFERROR(IF(ISNUMBER(SEARCH("Zone 0",IFERROR(LEFT($AS46,FIND("(",$AS46)-1),$AS46))),"Ga",IF(ISNUMBER(SEARCH("Zone 1",IFERROR(LEFT($AS46,FIND("(",$AS46)-1),$AS46))),"Gb",IF(ISNUMBER(SEARCH("Zone 2",IFERROR(LEFT($AS46,FIND("(",$AS46)-1),$AS46))),"Gc","None required"))),"—"))</f>
        <v/>
      </c>
      <c r="AV46" s="74" t="str">
        <f aca="false">IF($C46="","",IFERROR(IF($AU46="None required","—",$AB46&amp;" "&amp;INDEX(Tables!$B$31:$B$37,MATCH($AA46-0.001,Tables!$A$31:$A$37,1))),"—"))</f>
        <v/>
      </c>
      <c r="AW46" s="79" t="str">
        <f aca="false">IF($C46="","",TRIM(IF(IF(ISNUMBER($Z46),$H46&lt;$Z46-5,FALSE()),"Handled &gt;5°C below flash point — may not need zoning (unless mist/spray). ","")&amp;IF(IF(AND($D46="Pool evaporation",ISNUMBER($Y46)),$H46&gt;=$Y46,FALSE()),"Liquid at/above boiling point — pool equation not valid, treat as gas release. ","")&amp;IF(IF(AND($D46="Liquid jet",$M46="",ISNUMBER($Y46)),$H46&lt;$Y46,FALSE()),"Non-flashing liquid: vapour rate set to 0 — model the resulting pool on its own row. ","")&amp;IF(AND($D46="Gas/vapour jet",NOT(ISNUMBER($W46))),"No γ in library for this substance. ","")&amp;IF(IF(ISNUMBER($AC46),$AC46&gt;1.2,FALSE()),"Heavier than air — extend zone at low level / into pits and drains. ","")&amp;IF($AQ46="Low","Vz ≥ V0: ventilation cannot control the release — whole room affected. ","")&amp;IF(AND($F46="Indoor",OR($Q46="",$R46="")),"Indoor: enter room volume and air changes. ","")))</f>
        <v/>
      </c>
    </row>
    <row r="47" customFormat="false" ht="15" hidden="false" customHeight="false" outlineLevel="0" collapsed="false">
      <c r="A47" s="56"/>
      <c r="B47" s="57"/>
      <c r="C47" s="56"/>
      <c r="D47" s="56"/>
      <c r="E47" s="56"/>
      <c r="F47" s="56"/>
      <c r="G47" s="58"/>
      <c r="H47" s="59"/>
      <c r="I47" s="59"/>
      <c r="J47" s="60"/>
      <c r="K47" s="58"/>
      <c r="L47" s="58"/>
      <c r="M47" s="58"/>
      <c r="N47" s="58"/>
      <c r="O47" s="58"/>
      <c r="P47" s="58"/>
      <c r="Q47" s="61"/>
      <c r="R47" s="59"/>
      <c r="S47" s="59"/>
      <c r="T47" s="56"/>
      <c r="U47" s="62" t="str">
        <f aca="false">IF($C47="","",IFERROR(IF(INDEX(Substances!$C$2:$C$60,MATCH($C47,Substances!$A$2:$A$60,0))="","",INDEX(Substances!$C$2:$C$60,MATCH($C47,Substances!$A$2:$A$60,0))),"—"))</f>
        <v/>
      </c>
      <c r="V47" s="63" t="str">
        <f aca="false">IF($C47="","",IFERROR(IF(INDEX(Substances!$D$2:$D$60,MATCH($C47,Substances!$A$2:$A$60,0))="","",INDEX(Substances!$D$2:$D$60,MATCH($C47,Substances!$A$2:$A$60,0))),"—"))</f>
        <v/>
      </c>
      <c r="W47" s="62" t="str">
        <f aca="false">IF($C47="","",IFERROR(IF(INDEX(Substances!$F$2:$F$60,MATCH($C47,Substances!$A$2:$A$60,0))="","",INDEX(Substances!$F$2:$F$60,MATCH($C47,Substances!$A$2:$A$60,0))),"—"))</f>
        <v/>
      </c>
      <c r="X47" s="64" t="str">
        <f aca="false">IF($C47="","",IFERROR(IF(INDEX(Substances!$G$2:$G$60,MATCH($C47,Substances!$A$2:$A$60,0))="","",INDEX(Substances!$G$2:$G$60,MATCH($C47,Substances!$A$2:$A$60,0))),"—"))</f>
        <v/>
      </c>
      <c r="Y47" s="63" t="str">
        <f aca="false">IF($C47="","",IFERROR(IF(INDEX(Substances!$H$2:$H$60,MATCH($C47,Substances!$A$2:$A$60,0))="","",INDEX(Substances!$H$2:$H$60,MATCH($C47,Substances!$A$2:$A$60,0))),"—"))</f>
        <v/>
      </c>
      <c r="Z47" s="64" t="str">
        <f aca="false">IF($C47="","",IFERROR(IF(INDEX(Substances!$I$2:$I$60,MATCH($C47,Substances!$A$2:$A$60,0))="","",INDEX(Substances!$I$2:$I$60,MATCH($C47,Substances!$A$2:$A$60,0))),"—"))</f>
        <v/>
      </c>
      <c r="AA47" s="64" t="str">
        <f aca="false">IF($C47="","",IFERROR(IF(INDEX(Substances!$J$2:$J$60,MATCH($C47,Substances!$A$2:$A$60,0))="","",INDEX(Substances!$J$2:$J$60,MATCH($C47,Substances!$A$2:$A$60,0))),"—"))</f>
        <v/>
      </c>
      <c r="AB47" s="65" t="str">
        <f aca="false">IF($C47="","",IFERROR(IF(INDEX(Substances!$K$2:$K$60,MATCH($C47,Substances!$A$2:$A$60,0))="","",INDEX(Substances!$K$2:$K$60,MATCH($C47,Substances!$A$2:$A$60,0))),"—"))</f>
        <v/>
      </c>
      <c r="AC47" s="62" t="str">
        <f aca="false">IF($C47="","",IFERROR($U47/28.96,"—"))</f>
        <v/>
      </c>
      <c r="AD47" s="66" t="str">
        <f aca="false">IF($C47="","",IFERROR(N($G47)*100000+Tables!$B$4,"—"))</f>
        <v/>
      </c>
      <c r="AE47" s="67" t="str">
        <f aca="false">IF($C47="","",IFERROR($H47+273.15,"—"))</f>
        <v/>
      </c>
      <c r="AF47" s="67" t="str">
        <f aca="false">IF($C47="","",IFERROR($I47+273.15,"—"))</f>
        <v/>
      </c>
      <c r="AG47" s="66" t="str">
        <f aca="false">IF($C47="","",IFERROR(IF($D47="Gas/vapour jet",Tables!$B$4*(($W47+1)/2)^($W47/($W47-1)),"n/a"),"—"))</f>
        <v/>
      </c>
      <c r="AH47" s="68" t="str">
        <f aca="false">IF($C47="","",IFERROR(IF($D47="Gas/vapour jet",IF($AD47&gt;$AG47,"Choked","Subsonic"),"n/a"),"—"))</f>
        <v/>
      </c>
      <c r="AI47" s="69" t="str">
        <f aca="false">IF($C47="","",IFERROR(IF($D47="Gas/vapour jet","n/a",MIN(101.325,IF($P47&lt;&gt;"",$P47,IF(N(INDEX(Substances!$L$2:$L$60,MATCH($C47,Substances!$A$2:$A$60,0)))&lt;&gt;0,0.133322*10^(INDEX(Substances!$L$2:$L$60,MATCH($C47,Substances!$A$2:$A$60,0))-INDEX(Substances!$M$2:$M$60,MATCH($C47,Substances!$A$2:$A$60,0))/(INDEX(Substances!$N$2:$N$60,MATCH($C47,Substances!$A$2:$A$60,0))+$H47)),101.325*EXP(10.58*(1-($Y47+273.15)/$AE47)))))),"—"))</f>
        <v/>
      </c>
      <c r="AJ47" s="70" t="str">
        <f aca="false">IF($C47="","",IFERROR(IF($D47="Liquid jet",$K47*$J47*0.000001*SQRT(2*$X47*N($G47)*100000),"n/a"),"—"))</f>
        <v/>
      </c>
      <c r="AK47" s="71" t="str">
        <f aca="false">IF($C47="","",IFERROR(IF($D47="Gas/vapour jet",IF($AH47="Choked",$K47*$J47*0.000001*$AD47*SQRT($W47*$U47/($L47*Tables!$B$5*$AE47)*(2/($W47+1))^(($W47+1)/($W47-1))),$K47*$J47*0.000001*$AD47*SQRT($U47/($L47*Tables!$B$5*$AE47)*(2*$W47/($W47-1))*(1-(Tables!$B$4/$AD47)^(($W47-1)/$W47))*(Tables!$B$4/$AD47)^(2/$W47))),IF($D47="Liquid jet",$AJ47*IF($M47&lt;&gt;"",$M47,IF($H47&gt;=$Y47,1,0)),6.55*$O47^0.78*$N47*$AI47*$U47^0.667/(Tables!$B$5*$AE47))),"—"))</f>
        <v/>
      </c>
      <c r="AL47" s="72" t="str">
        <f aca="false">IF($C47="","",IFERROR(Tables!$B$10*$U47*$V47,"—"))</f>
        <v/>
      </c>
      <c r="AM47" s="69" t="str">
        <f aca="false">IF($C47="","",IFERROR(INDEX(Tables!$B$15:$B$17,MATCH($E47,Tables!$A$15:$A$17,0)),"—"))</f>
        <v/>
      </c>
      <c r="AN47" s="70" t="str">
        <f aca="false">IF($C47="","",IFERROR($AK47/($AM47*$AL47)*$AF47/Tables!$B$9,"—"))</f>
        <v/>
      </c>
      <c r="AO47" s="72" t="str">
        <f aca="false">IF($C47="","",IFERROR(IF($F47="Outdoor",Tables!$B$8,$R47/3600),"—"))</f>
        <v/>
      </c>
      <c r="AP47" s="73" t="str">
        <f aca="false">IF($C47="","",IFERROR($S47*$AN47/$AO47,"—"))</f>
        <v/>
      </c>
      <c r="AQ47" s="74" t="str">
        <f aca="false">IF($C47="","",IFERROR(IF($AP47&lt;Tables!$B$7,"High",IF($F47="Outdoor","Medium",IF($AP47&lt;$Q47,"Medium","Low"))),"—"))</f>
        <v/>
      </c>
      <c r="AR47" s="75" t="str">
        <f aca="false">IF($C47="","",IFERROR(-$S47/$AO47*LN($V47*$AM47/Tables!$B$6)/60,"—"))</f>
        <v/>
      </c>
      <c r="AS47" s="76" t="str">
        <f aca="false">IF($C47="","",IFERROR(INDEX(Tables!$B$22:$J$24,MATCH($E47,Tables!$A$22:$A$24,0),MATCH($AQ47&amp;"-"&amp;$T47,Tables!$B$21:$J$21,0)),"—"))</f>
        <v/>
      </c>
      <c r="AT47" s="77" t="str">
        <f aca="false">IF($C47="","",IFERROR((3*$AP47/(2*PI()))^(1/3),"—"))</f>
        <v/>
      </c>
      <c r="AU47" s="78" t="str">
        <f aca="false">IF($C47="","",IFERROR(IF(ISNUMBER(SEARCH("Zone 0",IFERROR(LEFT($AS47,FIND("(",$AS47)-1),$AS47))),"Ga",IF(ISNUMBER(SEARCH("Zone 1",IFERROR(LEFT($AS47,FIND("(",$AS47)-1),$AS47))),"Gb",IF(ISNUMBER(SEARCH("Zone 2",IFERROR(LEFT($AS47,FIND("(",$AS47)-1),$AS47))),"Gc","None required"))),"—"))</f>
        <v/>
      </c>
      <c r="AV47" s="74" t="str">
        <f aca="false">IF($C47="","",IFERROR(IF($AU47="None required","—",$AB47&amp;" "&amp;INDEX(Tables!$B$31:$B$37,MATCH($AA47-0.001,Tables!$A$31:$A$37,1))),"—"))</f>
        <v/>
      </c>
      <c r="AW47" s="79" t="str">
        <f aca="false">IF($C47="","",TRIM(IF(IF(ISNUMBER($Z47),$H47&lt;$Z47-5,FALSE()),"Handled &gt;5°C below flash point — may not need zoning (unless mist/spray). ","")&amp;IF(IF(AND($D47="Pool evaporation",ISNUMBER($Y47)),$H47&gt;=$Y47,FALSE()),"Liquid at/above boiling point — pool equation not valid, treat as gas release. ","")&amp;IF(IF(AND($D47="Liquid jet",$M47="",ISNUMBER($Y47)),$H47&lt;$Y47,FALSE()),"Non-flashing liquid: vapour rate set to 0 — model the resulting pool on its own row. ","")&amp;IF(AND($D47="Gas/vapour jet",NOT(ISNUMBER($W47))),"No γ in library for this substance. ","")&amp;IF(IF(ISNUMBER($AC47),$AC47&gt;1.2,FALSE()),"Heavier than air — extend zone at low level / into pits and drains. ","")&amp;IF($AQ47="Low","Vz ≥ V0: ventilation cannot control the release — whole room affected. ","")&amp;IF(AND($F47="Indoor",OR($Q47="",$R47="")),"Indoor: enter room volume and air changes. ","")))</f>
        <v/>
      </c>
    </row>
    <row r="48" customFormat="false" ht="15" hidden="false" customHeight="false" outlineLevel="0" collapsed="false">
      <c r="A48" s="56"/>
      <c r="B48" s="57"/>
      <c r="C48" s="56"/>
      <c r="D48" s="56"/>
      <c r="E48" s="56"/>
      <c r="F48" s="56"/>
      <c r="G48" s="58"/>
      <c r="H48" s="59"/>
      <c r="I48" s="59"/>
      <c r="J48" s="60"/>
      <c r="K48" s="58"/>
      <c r="L48" s="58"/>
      <c r="M48" s="58"/>
      <c r="N48" s="58"/>
      <c r="O48" s="58"/>
      <c r="P48" s="58"/>
      <c r="Q48" s="61"/>
      <c r="R48" s="59"/>
      <c r="S48" s="59"/>
      <c r="T48" s="56"/>
      <c r="U48" s="62" t="str">
        <f aca="false">IF($C48="","",IFERROR(IF(INDEX(Substances!$C$2:$C$60,MATCH($C48,Substances!$A$2:$A$60,0))="","",INDEX(Substances!$C$2:$C$60,MATCH($C48,Substances!$A$2:$A$60,0))),"—"))</f>
        <v/>
      </c>
      <c r="V48" s="63" t="str">
        <f aca="false">IF($C48="","",IFERROR(IF(INDEX(Substances!$D$2:$D$60,MATCH($C48,Substances!$A$2:$A$60,0))="","",INDEX(Substances!$D$2:$D$60,MATCH($C48,Substances!$A$2:$A$60,0))),"—"))</f>
        <v/>
      </c>
      <c r="W48" s="62" t="str">
        <f aca="false">IF($C48="","",IFERROR(IF(INDEX(Substances!$F$2:$F$60,MATCH($C48,Substances!$A$2:$A$60,0))="","",INDEX(Substances!$F$2:$F$60,MATCH($C48,Substances!$A$2:$A$60,0))),"—"))</f>
        <v/>
      </c>
      <c r="X48" s="64" t="str">
        <f aca="false">IF($C48="","",IFERROR(IF(INDEX(Substances!$G$2:$G$60,MATCH($C48,Substances!$A$2:$A$60,0))="","",INDEX(Substances!$G$2:$G$60,MATCH($C48,Substances!$A$2:$A$60,0))),"—"))</f>
        <v/>
      </c>
      <c r="Y48" s="63" t="str">
        <f aca="false">IF($C48="","",IFERROR(IF(INDEX(Substances!$H$2:$H$60,MATCH($C48,Substances!$A$2:$A$60,0))="","",INDEX(Substances!$H$2:$H$60,MATCH($C48,Substances!$A$2:$A$60,0))),"—"))</f>
        <v/>
      </c>
      <c r="Z48" s="64" t="str">
        <f aca="false">IF($C48="","",IFERROR(IF(INDEX(Substances!$I$2:$I$60,MATCH($C48,Substances!$A$2:$A$60,0))="","",INDEX(Substances!$I$2:$I$60,MATCH($C48,Substances!$A$2:$A$60,0))),"—"))</f>
        <v/>
      </c>
      <c r="AA48" s="64" t="str">
        <f aca="false">IF($C48="","",IFERROR(IF(INDEX(Substances!$J$2:$J$60,MATCH($C48,Substances!$A$2:$A$60,0))="","",INDEX(Substances!$J$2:$J$60,MATCH($C48,Substances!$A$2:$A$60,0))),"—"))</f>
        <v/>
      </c>
      <c r="AB48" s="65" t="str">
        <f aca="false">IF($C48="","",IFERROR(IF(INDEX(Substances!$K$2:$K$60,MATCH($C48,Substances!$A$2:$A$60,0))="","",INDEX(Substances!$K$2:$K$60,MATCH($C48,Substances!$A$2:$A$60,0))),"—"))</f>
        <v/>
      </c>
      <c r="AC48" s="62" t="str">
        <f aca="false">IF($C48="","",IFERROR($U48/28.96,"—"))</f>
        <v/>
      </c>
      <c r="AD48" s="66" t="str">
        <f aca="false">IF($C48="","",IFERROR(N($G48)*100000+Tables!$B$4,"—"))</f>
        <v/>
      </c>
      <c r="AE48" s="67" t="str">
        <f aca="false">IF($C48="","",IFERROR($H48+273.15,"—"))</f>
        <v/>
      </c>
      <c r="AF48" s="67" t="str">
        <f aca="false">IF($C48="","",IFERROR($I48+273.15,"—"))</f>
        <v/>
      </c>
      <c r="AG48" s="66" t="str">
        <f aca="false">IF($C48="","",IFERROR(IF($D48="Gas/vapour jet",Tables!$B$4*(($W48+1)/2)^($W48/($W48-1)),"n/a"),"—"))</f>
        <v/>
      </c>
      <c r="AH48" s="68" t="str">
        <f aca="false">IF($C48="","",IFERROR(IF($D48="Gas/vapour jet",IF($AD48&gt;$AG48,"Choked","Subsonic"),"n/a"),"—"))</f>
        <v/>
      </c>
      <c r="AI48" s="69" t="str">
        <f aca="false">IF($C48="","",IFERROR(IF($D48="Gas/vapour jet","n/a",MIN(101.325,IF($P48&lt;&gt;"",$P48,IF(N(INDEX(Substances!$L$2:$L$60,MATCH($C48,Substances!$A$2:$A$60,0)))&lt;&gt;0,0.133322*10^(INDEX(Substances!$L$2:$L$60,MATCH($C48,Substances!$A$2:$A$60,0))-INDEX(Substances!$M$2:$M$60,MATCH($C48,Substances!$A$2:$A$60,0))/(INDEX(Substances!$N$2:$N$60,MATCH($C48,Substances!$A$2:$A$60,0))+$H48)),101.325*EXP(10.58*(1-($Y48+273.15)/$AE48)))))),"—"))</f>
        <v/>
      </c>
      <c r="AJ48" s="70" t="str">
        <f aca="false">IF($C48="","",IFERROR(IF($D48="Liquid jet",$K48*$J48*0.000001*SQRT(2*$X48*N($G48)*100000),"n/a"),"—"))</f>
        <v/>
      </c>
      <c r="AK48" s="71" t="str">
        <f aca="false">IF($C48="","",IFERROR(IF($D48="Gas/vapour jet",IF($AH48="Choked",$K48*$J48*0.000001*$AD48*SQRT($W48*$U48/($L48*Tables!$B$5*$AE48)*(2/($W48+1))^(($W48+1)/($W48-1))),$K48*$J48*0.000001*$AD48*SQRT($U48/($L48*Tables!$B$5*$AE48)*(2*$W48/($W48-1))*(1-(Tables!$B$4/$AD48)^(($W48-1)/$W48))*(Tables!$B$4/$AD48)^(2/$W48))),IF($D48="Liquid jet",$AJ48*IF($M48&lt;&gt;"",$M48,IF($H48&gt;=$Y48,1,0)),6.55*$O48^0.78*$N48*$AI48*$U48^0.667/(Tables!$B$5*$AE48))),"—"))</f>
        <v/>
      </c>
      <c r="AL48" s="72" t="str">
        <f aca="false">IF($C48="","",IFERROR(Tables!$B$10*$U48*$V48,"—"))</f>
        <v/>
      </c>
      <c r="AM48" s="69" t="str">
        <f aca="false">IF($C48="","",IFERROR(INDEX(Tables!$B$15:$B$17,MATCH($E48,Tables!$A$15:$A$17,0)),"—"))</f>
        <v/>
      </c>
      <c r="AN48" s="70" t="str">
        <f aca="false">IF($C48="","",IFERROR($AK48/($AM48*$AL48)*$AF48/Tables!$B$9,"—"))</f>
        <v/>
      </c>
      <c r="AO48" s="72" t="str">
        <f aca="false">IF($C48="","",IFERROR(IF($F48="Outdoor",Tables!$B$8,$R48/3600),"—"))</f>
        <v/>
      </c>
      <c r="AP48" s="73" t="str">
        <f aca="false">IF($C48="","",IFERROR($S48*$AN48/$AO48,"—"))</f>
        <v/>
      </c>
      <c r="AQ48" s="74" t="str">
        <f aca="false">IF($C48="","",IFERROR(IF($AP48&lt;Tables!$B$7,"High",IF($F48="Outdoor","Medium",IF($AP48&lt;$Q48,"Medium","Low"))),"—"))</f>
        <v/>
      </c>
      <c r="AR48" s="75" t="str">
        <f aca="false">IF($C48="","",IFERROR(-$S48/$AO48*LN($V48*$AM48/Tables!$B$6)/60,"—"))</f>
        <v/>
      </c>
      <c r="AS48" s="76" t="str">
        <f aca="false">IF($C48="","",IFERROR(INDEX(Tables!$B$22:$J$24,MATCH($E48,Tables!$A$22:$A$24,0),MATCH($AQ48&amp;"-"&amp;$T48,Tables!$B$21:$J$21,0)),"—"))</f>
        <v/>
      </c>
      <c r="AT48" s="77" t="str">
        <f aca="false">IF($C48="","",IFERROR((3*$AP48/(2*PI()))^(1/3),"—"))</f>
        <v/>
      </c>
      <c r="AU48" s="78" t="str">
        <f aca="false">IF($C48="","",IFERROR(IF(ISNUMBER(SEARCH("Zone 0",IFERROR(LEFT($AS48,FIND("(",$AS48)-1),$AS48))),"Ga",IF(ISNUMBER(SEARCH("Zone 1",IFERROR(LEFT($AS48,FIND("(",$AS48)-1),$AS48))),"Gb",IF(ISNUMBER(SEARCH("Zone 2",IFERROR(LEFT($AS48,FIND("(",$AS48)-1),$AS48))),"Gc","None required"))),"—"))</f>
        <v/>
      </c>
      <c r="AV48" s="74" t="str">
        <f aca="false">IF($C48="","",IFERROR(IF($AU48="None required","—",$AB48&amp;" "&amp;INDEX(Tables!$B$31:$B$37,MATCH($AA48-0.001,Tables!$A$31:$A$37,1))),"—"))</f>
        <v/>
      </c>
      <c r="AW48" s="79" t="str">
        <f aca="false">IF($C48="","",TRIM(IF(IF(ISNUMBER($Z48),$H48&lt;$Z48-5,FALSE()),"Handled &gt;5°C below flash point — may not need zoning (unless mist/spray). ","")&amp;IF(IF(AND($D48="Pool evaporation",ISNUMBER($Y48)),$H48&gt;=$Y48,FALSE()),"Liquid at/above boiling point — pool equation not valid, treat as gas release. ","")&amp;IF(IF(AND($D48="Liquid jet",$M48="",ISNUMBER($Y48)),$H48&lt;$Y48,FALSE()),"Non-flashing liquid: vapour rate set to 0 — model the resulting pool on its own row. ","")&amp;IF(AND($D48="Gas/vapour jet",NOT(ISNUMBER($W48))),"No γ in library for this substance. ","")&amp;IF(IF(ISNUMBER($AC48),$AC48&gt;1.2,FALSE()),"Heavier than air — extend zone at low level / into pits and drains. ","")&amp;IF($AQ48="Low","Vz ≥ V0: ventilation cannot control the release — whole room affected. ","")&amp;IF(AND($F48="Indoor",OR($Q48="",$R48="")),"Indoor: enter room volume and air changes. ","")))</f>
        <v/>
      </c>
    </row>
    <row r="49" customFormat="false" ht="15" hidden="false" customHeight="false" outlineLevel="0" collapsed="false">
      <c r="A49" s="56"/>
      <c r="B49" s="57"/>
      <c r="C49" s="56"/>
      <c r="D49" s="56"/>
      <c r="E49" s="56"/>
      <c r="F49" s="56"/>
      <c r="G49" s="58"/>
      <c r="H49" s="59"/>
      <c r="I49" s="59"/>
      <c r="J49" s="60"/>
      <c r="K49" s="58"/>
      <c r="L49" s="58"/>
      <c r="M49" s="58"/>
      <c r="N49" s="58"/>
      <c r="O49" s="58"/>
      <c r="P49" s="58"/>
      <c r="Q49" s="61"/>
      <c r="R49" s="59"/>
      <c r="S49" s="59"/>
      <c r="T49" s="56"/>
      <c r="U49" s="62" t="str">
        <f aca="false">IF($C49="","",IFERROR(IF(INDEX(Substances!$C$2:$C$60,MATCH($C49,Substances!$A$2:$A$60,0))="","",INDEX(Substances!$C$2:$C$60,MATCH($C49,Substances!$A$2:$A$60,0))),"—"))</f>
        <v/>
      </c>
      <c r="V49" s="63" t="str">
        <f aca="false">IF($C49="","",IFERROR(IF(INDEX(Substances!$D$2:$D$60,MATCH($C49,Substances!$A$2:$A$60,0))="","",INDEX(Substances!$D$2:$D$60,MATCH($C49,Substances!$A$2:$A$60,0))),"—"))</f>
        <v/>
      </c>
      <c r="W49" s="62" t="str">
        <f aca="false">IF($C49="","",IFERROR(IF(INDEX(Substances!$F$2:$F$60,MATCH($C49,Substances!$A$2:$A$60,0))="","",INDEX(Substances!$F$2:$F$60,MATCH($C49,Substances!$A$2:$A$60,0))),"—"))</f>
        <v/>
      </c>
      <c r="X49" s="64" t="str">
        <f aca="false">IF($C49="","",IFERROR(IF(INDEX(Substances!$G$2:$G$60,MATCH($C49,Substances!$A$2:$A$60,0))="","",INDEX(Substances!$G$2:$G$60,MATCH($C49,Substances!$A$2:$A$60,0))),"—"))</f>
        <v/>
      </c>
      <c r="Y49" s="63" t="str">
        <f aca="false">IF($C49="","",IFERROR(IF(INDEX(Substances!$H$2:$H$60,MATCH($C49,Substances!$A$2:$A$60,0))="","",INDEX(Substances!$H$2:$H$60,MATCH($C49,Substances!$A$2:$A$60,0))),"—"))</f>
        <v/>
      </c>
      <c r="Z49" s="64" t="str">
        <f aca="false">IF($C49="","",IFERROR(IF(INDEX(Substances!$I$2:$I$60,MATCH($C49,Substances!$A$2:$A$60,0))="","",INDEX(Substances!$I$2:$I$60,MATCH($C49,Substances!$A$2:$A$60,0))),"—"))</f>
        <v/>
      </c>
      <c r="AA49" s="64" t="str">
        <f aca="false">IF($C49="","",IFERROR(IF(INDEX(Substances!$J$2:$J$60,MATCH($C49,Substances!$A$2:$A$60,0))="","",INDEX(Substances!$J$2:$J$60,MATCH($C49,Substances!$A$2:$A$60,0))),"—"))</f>
        <v/>
      </c>
      <c r="AB49" s="65" t="str">
        <f aca="false">IF($C49="","",IFERROR(IF(INDEX(Substances!$K$2:$K$60,MATCH($C49,Substances!$A$2:$A$60,0))="","",INDEX(Substances!$K$2:$K$60,MATCH($C49,Substances!$A$2:$A$60,0))),"—"))</f>
        <v/>
      </c>
      <c r="AC49" s="62" t="str">
        <f aca="false">IF($C49="","",IFERROR($U49/28.96,"—"))</f>
        <v/>
      </c>
      <c r="AD49" s="66" t="str">
        <f aca="false">IF($C49="","",IFERROR(N($G49)*100000+Tables!$B$4,"—"))</f>
        <v/>
      </c>
      <c r="AE49" s="67" t="str">
        <f aca="false">IF($C49="","",IFERROR($H49+273.15,"—"))</f>
        <v/>
      </c>
      <c r="AF49" s="67" t="str">
        <f aca="false">IF($C49="","",IFERROR($I49+273.15,"—"))</f>
        <v/>
      </c>
      <c r="AG49" s="66" t="str">
        <f aca="false">IF($C49="","",IFERROR(IF($D49="Gas/vapour jet",Tables!$B$4*(($W49+1)/2)^($W49/($W49-1)),"n/a"),"—"))</f>
        <v/>
      </c>
      <c r="AH49" s="68" t="str">
        <f aca="false">IF($C49="","",IFERROR(IF($D49="Gas/vapour jet",IF($AD49&gt;$AG49,"Choked","Subsonic"),"n/a"),"—"))</f>
        <v/>
      </c>
      <c r="AI49" s="69" t="str">
        <f aca="false">IF($C49="","",IFERROR(IF($D49="Gas/vapour jet","n/a",MIN(101.325,IF($P49&lt;&gt;"",$P49,IF(N(INDEX(Substances!$L$2:$L$60,MATCH($C49,Substances!$A$2:$A$60,0)))&lt;&gt;0,0.133322*10^(INDEX(Substances!$L$2:$L$60,MATCH($C49,Substances!$A$2:$A$60,0))-INDEX(Substances!$M$2:$M$60,MATCH($C49,Substances!$A$2:$A$60,0))/(INDEX(Substances!$N$2:$N$60,MATCH($C49,Substances!$A$2:$A$60,0))+$H49)),101.325*EXP(10.58*(1-($Y49+273.15)/$AE49)))))),"—"))</f>
        <v/>
      </c>
      <c r="AJ49" s="70" t="str">
        <f aca="false">IF($C49="","",IFERROR(IF($D49="Liquid jet",$K49*$J49*0.000001*SQRT(2*$X49*N($G49)*100000),"n/a"),"—"))</f>
        <v/>
      </c>
      <c r="AK49" s="71" t="str">
        <f aca="false">IF($C49="","",IFERROR(IF($D49="Gas/vapour jet",IF($AH49="Choked",$K49*$J49*0.000001*$AD49*SQRT($W49*$U49/($L49*Tables!$B$5*$AE49)*(2/($W49+1))^(($W49+1)/($W49-1))),$K49*$J49*0.000001*$AD49*SQRT($U49/($L49*Tables!$B$5*$AE49)*(2*$W49/($W49-1))*(1-(Tables!$B$4/$AD49)^(($W49-1)/$W49))*(Tables!$B$4/$AD49)^(2/$W49))),IF($D49="Liquid jet",$AJ49*IF($M49&lt;&gt;"",$M49,IF($H49&gt;=$Y49,1,0)),6.55*$O49^0.78*$N49*$AI49*$U49^0.667/(Tables!$B$5*$AE49))),"—"))</f>
        <v/>
      </c>
      <c r="AL49" s="72" t="str">
        <f aca="false">IF($C49="","",IFERROR(Tables!$B$10*$U49*$V49,"—"))</f>
        <v/>
      </c>
      <c r="AM49" s="69" t="str">
        <f aca="false">IF($C49="","",IFERROR(INDEX(Tables!$B$15:$B$17,MATCH($E49,Tables!$A$15:$A$17,0)),"—"))</f>
        <v/>
      </c>
      <c r="AN49" s="70" t="str">
        <f aca="false">IF($C49="","",IFERROR($AK49/($AM49*$AL49)*$AF49/Tables!$B$9,"—"))</f>
        <v/>
      </c>
      <c r="AO49" s="72" t="str">
        <f aca="false">IF($C49="","",IFERROR(IF($F49="Outdoor",Tables!$B$8,$R49/3600),"—"))</f>
        <v/>
      </c>
      <c r="AP49" s="73" t="str">
        <f aca="false">IF($C49="","",IFERROR($S49*$AN49/$AO49,"—"))</f>
        <v/>
      </c>
      <c r="AQ49" s="74" t="str">
        <f aca="false">IF($C49="","",IFERROR(IF($AP49&lt;Tables!$B$7,"High",IF($F49="Outdoor","Medium",IF($AP49&lt;$Q49,"Medium","Low"))),"—"))</f>
        <v/>
      </c>
      <c r="AR49" s="75" t="str">
        <f aca="false">IF($C49="","",IFERROR(-$S49/$AO49*LN($V49*$AM49/Tables!$B$6)/60,"—"))</f>
        <v/>
      </c>
      <c r="AS49" s="76" t="str">
        <f aca="false">IF($C49="","",IFERROR(INDEX(Tables!$B$22:$J$24,MATCH($E49,Tables!$A$22:$A$24,0),MATCH($AQ49&amp;"-"&amp;$T49,Tables!$B$21:$J$21,0)),"—"))</f>
        <v/>
      </c>
      <c r="AT49" s="77" t="str">
        <f aca="false">IF($C49="","",IFERROR((3*$AP49/(2*PI()))^(1/3),"—"))</f>
        <v/>
      </c>
      <c r="AU49" s="78" t="str">
        <f aca="false">IF($C49="","",IFERROR(IF(ISNUMBER(SEARCH("Zone 0",IFERROR(LEFT($AS49,FIND("(",$AS49)-1),$AS49))),"Ga",IF(ISNUMBER(SEARCH("Zone 1",IFERROR(LEFT($AS49,FIND("(",$AS49)-1),$AS49))),"Gb",IF(ISNUMBER(SEARCH("Zone 2",IFERROR(LEFT($AS49,FIND("(",$AS49)-1),$AS49))),"Gc","None required"))),"—"))</f>
        <v/>
      </c>
      <c r="AV49" s="74" t="str">
        <f aca="false">IF($C49="","",IFERROR(IF($AU49="None required","—",$AB49&amp;" "&amp;INDEX(Tables!$B$31:$B$37,MATCH($AA49-0.001,Tables!$A$31:$A$37,1))),"—"))</f>
        <v/>
      </c>
      <c r="AW49" s="79" t="str">
        <f aca="false">IF($C49="","",TRIM(IF(IF(ISNUMBER($Z49),$H49&lt;$Z49-5,FALSE()),"Handled &gt;5°C below flash point — may not need zoning (unless mist/spray). ","")&amp;IF(IF(AND($D49="Pool evaporation",ISNUMBER($Y49)),$H49&gt;=$Y49,FALSE()),"Liquid at/above boiling point — pool equation not valid, treat as gas release. ","")&amp;IF(IF(AND($D49="Liquid jet",$M49="",ISNUMBER($Y49)),$H49&lt;$Y49,FALSE()),"Non-flashing liquid: vapour rate set to 0 — model the resulting pool on its own row. ","")&amp;IF(AND($D49="Gas/vapour jet",NOT(ISNUMBER($W49))),"No γ in library for this substance. ","")&amp;IF(IF(ISNUMBER($AC49),$AC49&gt;1.2,FALSE()),"Heavier than air — extend zone at low level / into pits and drains. ","")&amp;IF($AQ49="Low","Vz ≥ V0: ventilation cannot control the release — whole room affected. ","")&amp;IF(AND($F49="Indoor",OR($Q49="",$R49="")),"Indoor: enter room volume and air changes. ","")))</f>
        <v/>
      </c>
    </row>
    <row r="50" customFormat="false" ht="15" hidden="false" customHeight="false" outlineLevel="0" collapsed="false">
      <c r="A50" s="56"/>
      <c r="B50" s="57"/>
      <c r="C50" s="56"/>
      <c r="D50" s="56"/>
      <c r="E50" s="56"/>
      <c r="F50" s="56"/>
      <c r="G50" s="58"/>
      <c r="H50" s="59"/>
      <c r="I50" s="59"/>
      <c r="J50" s="60"/>
      <c r="K50" s="58"/>
      <c r="L50" s="58"/>
      <c r="M50" s="58"/>
      <c r="N50" s="58"/>
      <c r="O50" s="58"/>
      <c r="P50" s="58"/>
      <c r="Q50" s="61"/>
      <c r="R50" s="59"/>
      <c r="S50" s="59"/>
      <c r="T50" s="56"/>
      <c r="U50" s="62" t="str">
        <f aca="false">IF($C50="","",IFERROR(IF(INDEX(Substances!$C$2:$C$60,MATCH($C50,Substances!$A$2:$A$60,0))="","",INDEX(Substances!$C$2:$C$60,MATCH($C50,Substances!$A$2:$A$60,0))),"—"))</f>
        <v/>
      </c>
      <c r="V50" s="63" t="str">
        <f aca="false">IF($C50="","",IFERROR(IF(INDEX(Substances!$D$2:$D$60,MATCH($C50,Substances!$A$2:$A$60,0))="","",INDEX(Substances!$D$2:$D$60,MATCH($C50,Substances!$A$2:$A$60,0))),"—"))</f>
        <v/>
      </c>
      <c r="W50" s="62" t="str">
        <f aca="false">IF($C50="","",IFERROR(IF(INDEX(Substances!$F$2:$F$60,MATCH($C50,Substances!$A$2:$A$60,0))="","",INDEX(Substances!$F$2:$F$60,MATCH($C50,Substances!$A$2:$A$60,0))),"—"))</f>
        <v/>
      </c>
      <c r="X50" s="64" t="str">
        <f aca="false">IF($C50="","",IFERROR(IF(INDEX(Substances!$G$2:$G$60,MATCH($C50,Substances!$A$2:$A$60,0))="","",INDEX(Substances!$G$2:$G$60,MATCH($C50,Substances!$A$2:$A$60,0))),"—"))</f>
        <v/>
      </c>
      <c r="Y50" s="63" t="str">
        <f aca="false">IF($C50="","",IFERROR(IF(INDEX(Substances!$H$2:$H$60,MATCH($C50,Substances!$A$2:$A$60,0))="","",INDEX(Substances!$H$2:$H$60,MATCH($C50,Substances!$A$2:$A$60,0))),"—"))</f>
        <v/>
      </c>
      <c r="Z50" s="64" t="str">
        <f aca="false">IF($C50="","",IFERROR(IF(INDEX(Substances!$I$2:$I$60,MATCH($C50,Substances!$A$2:$A$60,0))="","",INDEX(Substances!$I$2:$I$60,MATCH($C50,Substances!$A$2:$A$60,0))),"—"))</f>
        <v/>
      </c>
      <c r="AA50" s="64" t="str">
        <f aca="false">IF($C50="","",IFERROR(IF(INDEX(Substances!$J$2:$J$60,MATCH($C50,Substances!$A$2:$A$60,0))="","",INDEX(Substances!$J$2:$J$60,MATCH($C50,Substances!$A$2:$A$60,0))),"—"))</f>
        <v/>
      </c>
      <c r="AB50" s="65" t="str">
        <f aca="false">IF($C50="","",IFERROR(IF(INDEX(Substances!$K$2:$K$60,MATCH($C50,Substances!$A$2:$A$60,0))="","",INDEX(Substances!$K$2:$K$60,MATCH($C50,Substances!$A$2:$A$60,0))),"—"))</f>
        <v/>
      </c>
      <c r="AC50" s="62" t="str">
        <f aca="false">IF($C50="","",IFERROR($U50/28.96,"—"))</f>
        <v/>
      </c>
      <c r="AD50" s="66" t="str">
        <f aca="false">IF($C50="","",IFERROR(N($G50)*100000+Tables!$B$4,"—"))</f>
        <v/>
      </c>
      <c r="AE50" s="67" t="str">
        <f aca="false">IF($C50="","",IFERROR($H50+273.15,"—"))</f>
        <v/>
      </c>
      <c r="AF50" s="67" t="str">
        <f aca="false">IF($C50="","",IFERROR($I50+273.15,"—"))</f>
        <v/>
      </c>
      <c r="AG50" s="66" t="str">
        <f aca="false">IF($C50="","",IFERROR(IF($D50="Gas/vapour jet",Tables!$B$4*(($W50+1)/2)^($W50/($W50-1)),"n/a"),"—"))</f>
        <v/>
      </c>
      <c r="AH50" s="68" t="str">
        <f aca="false">IF($C50="","",IFERROR(IF($D50="Gas/vapour jet",IF($AD50&gt;$AG50,"Choked","Subsonic"),"n/a"),"—"))</f>
        <v/>
      </c>
      <c r="AI50" s="69" t="str">
        <f aca="false">IF($C50="","",IFERROR(IF($D50="Gas/vapour jet","n/a",MIN(101.325,IF($P50&lt;&gt;"",$P50,IF(N(INDEX(Substances!$L$2:$L$60,MATCH($C50,Substances!$A$2:$A$60,0)))&lt;&gt;0,0.133322*10^(INDEX(Substances!$L$2:$L$60,MATCH($C50,Substances!$A$2:$A$60,0))-INDEX(Substances!$M$2:$M$60,MATCH($C50,Substances!$A$2:$A$60,0))/(INDEX(Substances!$N$2:$N$60,MATCH($C50,Substances!$A$2:$A$60,0))+$H50)),101.325*EXP(10.58*(1-($Y50+273.15)/$AE50)))))),"—"))</f>
        <v/>
      </c>
      <c r="AJ50" s="70" t="str">
        <f aca="false">IF($C50="","",IFERROR(IF($D50="Liquid jet",$K50*$J50*0.000001*SQRT(2*$X50*N($G50)*100000),"n/a"),"—"))</f>
        <v/>
      </c>
      <c r="AK50" s="71" t="str">
        <f aca="false">IF($C50="","",IFERROR(IF($D50="Gas/vapour jet",IF($AH50="Choked",$K50*$J50*0.000001*$AD50*SQRT($W50*$U50/($L50*Tables!$B$5*$AE50)*(2/($W50+1))^(($W50+1)/($W50-1))),$K50*$J50*0.000001*$AD50*SQRT($U50/($L50*Tables!$B$5*$AE50)*(2*$W50/($W50-1))*(1-(Tables!$B$4/$AD50)^(($W50-1)/$W50))*(Tables!$B$4/$AD50)^(2/$W50))),IF($D50="Liquid jet",$AJ50*IF($M50&lt;&gt;"",$M50,IF($H50&gt;=$Y50,1,0)),6.55*$O50^0.78*$N50*$AI50*$U50^0.667/(Tables!$B$5*$AE50))),"—"))</f>
        <v/>
      </c>
      <c r="AL50" s="72" t="str">
        <f aca="false">IF($C50="","",IFERROR(Tables!$B$10*$U50*$V50,"—"))</f>
        <v/>
      </c>
      <c r="AM50" s="69" t="str">
        <f aca="false">IF($C50="","",IFERROR(INDEX(Tables!$B$15:$B$17,MATCH($E50,Tables!$A$15:$A$17,0)),"—"))</f>
        <v/>
      </c>
      <c r="AN50" s="70" t="str">
        <f aca="false">IF($C50="","",IFERROR($AK50/($AM50*$AL50)*$AF50/Tables!$B$9,"—"))</f>
        <v/>
      </c>
      <c r="AO50" s="72" t="str">
        <f aca="false">IF($C50="","",IFERROR(IF($F50="Outdoor",Tables!$B$8,$R50/3600),"—"))</f>
        <v/>
      </c>
      <c r="AP50" s="73" t="str">
        <f aca="false">IF($C50="","",IFERROR($S50*$AN50/$AO50,"—"))</f>
        <v/>
      </c>
      <c r="AQ50" s="74" t="str">
        <f aca="false">IF($C50="","",IFERROR(IF($AP50&lt;Tables!$B$7,"High",IF($F50="Outdoor","Medium",IF($AP50&lt;$Q50,"Medium","Low"))),"—"))</f>
        <v/>
      </c>
      <c r="AR50" s="75" t="str">
        <f aca="false">IF($C50="","",IFERROR(-$S50/$AO50*LN($V50*$AM50/Tables!$B$6)/60,"—"))</f>
        <v/>
      </c>
      <c r="AS50" s="76" t="str">
        <f aca="false">IF($C50="","",IFERROR(INDEX(Tables!$B$22:$J$24,MATCH($E50,Tables!$A$22:$A$24,0),MATCH($AQ50&amp;"-"&amp;$T50,Tables!$B$21:$J$21,0)),"—"))</f>
        <v/>
      </c>
      <c r="AT50" s="77" t="str">
        <f aca="false">IF($C50="","",IFERROR((3*$AP50/(2*PI()))^(1/3),"—"))</f>
        <v/>
      </c>
      <c r="AU50" s="78" t="str">
        <f aca="false">IF($C50="","",IFERROR(IF(ISNUMBER(SEARCH("Zone 0",IFERROR(LEFT($AS50,FIND("(",$AS50)-1),$AS50))),"Ga",IF(ISNUMBER(SEARCH("Zone 1",IFERROR(LEFT($AS50,FIND("(",$AS50)-1),$AS50))),"Gb",IF(ISNUMBER(SEARCH("Zone 2",IFERROR(LEFT($AS50,FIND("(",$AS50)-1),$AS50))),"Gc","None required"))),"—"))</f>
        <v/>
      </c>
      <c r="AV50" s="74" t="str">
        <f aca="false">IF($C50="","",IFERROR(IF($AU50="None required","—",$AB50&amp;" "&amp;INDEX(Tables!$B$31:$B$37,MATCH($AA50-0.001,Tables!$A$31:$A$37,1))),"—"))</f>
        <v/>
      </c>
      <c r="AW50" s="79" t="str">
        <f aca="false">IF($C50="","",TRIM(IF(IF(ISNUMBER($Z50),$H50&lt;$Z50-5,FALSE()),"Handled &gt;5°C below flash point — may not need zoning (unless mist/spray). ","")&amp;IF(IF(AND($D50="Pool evaporation",ISNUMBER($Y50)),$H50&gt;=$Y50,FALSE()),"Liquid at/above boiling point — pool equation not valid, treat as gas release. ","")&amp;IF(IF(AND($D50="Liquid jet",$M50="",ISNUMBER($Y50)),$H50&lt;$Y50,FALSE()),"Non-flashing liquid: vapour rate set to 0 — model the resulting pool on its own row. ","")&amp;IF(AND($D50="Gas/vapour jet",NOT(ISNUMBER($W50))),"No γ in library for this substance. ","")&amp;IF(IF(ISNUMBER($AC50),$AC50&gt;1.2,FALSE()),"Heavier than air — extend zone at low level / into pits and drains. ","")&amp;IF($AQ50="Low","Vz ≥ V0: ventilation cannot control the release — whole room affected. ","")&amp;IF(AND($F50="Indoor",OR($Q50="",$R50="")),"Indoor: enter room volume and air changes. ","")))</f>
        <v/>
      </c>
    </row>
    <row r="51" customFormat="false" ht="15" hidden="false" customHeight="false" outlineLevel="0" collapsed="false">
      <c r="A51" s="56"/>
      <c r="B51" s="57"/>
      <c r="C51" s="56"/>
      <c r="D51" s="56"/>
      <c r="E51" s="56"/>
      <c r="F51" s="56"/>
      <c r="G51" s="58"/>
      <c r="H51" s="59"/>
      <c r="I51" s="59"/>
      <c r="J51" s="60"/>
      <c r="K51" s="58"/>
      <c r="L51" s="58"/>
      <c r="M51" s="58"/>
      <c r="N51" s="58"/>
      <c r="O51" s="58"/>
      <c r="P51" s="58"/>
      <c r="Q51" s="61"/>
      <c r="R51" s="59"/>
      <c r="S51" s="59"/>
      <c r="T51" s="56"/>
      <c r="U51" s="62" t="str">
        <f aca="false">IF($C51="","",IFERROR(IF(INDEX(Substances!$C$2:$C$60,MATCH($C51,Substances!$A$2:$A$60,0))="","",INDEX(Substances!$C$2:$C$60,MATCH($C51,Substances!$A$2:$A$60,0))),"—"))</f>
        <v/>
      </c>
      <c r="V51" s="63" t="str">
        <f aca="false">IF($C51="","",IFERROR(IF(INDEX(Substances!$D$2:$D$60,MATCH($C51,Substances!$A$2:$A$60,0))="","",INDEX(Substances!$D$2:$D$60,MATCH($C51,Substances!$A$2:$A$60,0))),"—"))</f>
        <v/>
      </c>
      <c r="W51" s="62" t="str">
        <f aca="false">IF($C51="","",IFERROR(IF(INDEX(Substances!$F$2:$F$60,MATCH($C51,Substances!$A$2:$A$60,0))="","",INDEX(Substances!$F$2:$F$60,MATCH($C51,Substances!$A$2:$A$60,0))),"—"))</f>
        <v/>
      </c>
      <c r="X51" s="64" t="str">
        <f aca="false">IF($C51="","",IFERROR(IF(INDEX(Substances!$G$2:$G$60,MATCH($C51,Substances!$A$2:$A$60,0))="","",INDEX(Substances!$G$2:$G$60,MATCH($C51,Substances!$A$2:$A$60,0))),"—"))</f>
        <v/>
      </c>
      <c r="Y51" s="63" t="str">
        <f aca="false">IF($C51="","",IFERROR(IF(INDEX(Substances!$H$2:$H$60,MATCH($C51,Substances!$A$2:$A$60,0))="","",INDEX(Substances!$H$2:$H$60,MATCH($C51,Substances!$A$2:$A$60,0))),"—"))</f>
        <v/>
      </c>
      <c r="Z51" s="64" t="str">
        <f aca="false">IF($C51="","",IFERROR(IF(INDEX(Substances!$I$2:$I$60,MATCH($C51,Substances!$A$2:$A$60,0))="","",INDEX(Substances!$I$2:$I$60,MATCH($C51,Substances!$A$2:$A$60,0))),"—"))</f>
        <v/>
      </c>
      <c r="AA51" s="64" t="str">
        <f aca="false">IF($C51="","",IFERROR(IF(INDEX(Substances!$J$2:$J$60,MATCH($C51,Substances!$A$2:$A$60,0))="","",INDEX(Substances!$J$2:$J$60,MATCH($C51,Substances!$A$2:$A$60,0))),"—"))</f>
        <v/>
      </c>
      <c r="AB51" s="65" t="str">
        <f aca="false">IF($C51="","",IFERROR(IF(INDEX(Substances!$K$2:$K$60,MATCH($C51,Substances!$A$2:$A$60,0))="","",INDEX(Substances!$K$2:$K$60,MATCH($C51,Substances!$A$2:$A$60,0))),"—"))</f>
        <v/>
      </c>
      <c r="AC51" s="62" t="str">
        <f aca="false">IF($C51="","",IFERROR($U51/28.96,"—"))</f>
        <v/>
      </c>
      <c r="AD51" s="66" t="str">
        <f aca="false">IF($C51="","",IFERROR(N($G51)*100000+Tables!$B$4,"—"))</f>
        <v/>
      </c>
      <c r="AE51" s="67" t="str">
        <f aca="false">IF($C51="","",IFERROR($H51+273.15,"—"))</f>
        <v/>
      </c>
      <c r="AF51" s="67" t="str">
        <f aca="false">IF($C51="","",IFERROR($I51+273.15,"—"))</f>
        <v/>
      </c>
      <c r="AG51" s="66" t="str">
        <f aca="false">IF($C51="","",IFERROR(IF($D51="Gas/vapour jet",Tables!$B$4*(($W51+1)/2)^($W51/($W51-1)),"n/a"),"—"))</f>
        <v/>
      </c>
      <c r="AH51" s="68" t="str">
        <f aca="false">IF($C51="","",IFERROR(IF($D51="Gas/vapour jet",IF($AD51&gt;$AG51,"Choked","Subsonic"),"n/a"),"—"))</f>
        <v/>
      </c>
      <c r="AI51" s="69" t="str">
        <f aca="false">IF($C51="","",IFERROR(IF($D51="Gas/vapour jet","n/a",MIN(101.325,IF($P51&lt;&gt;"",$P51,IF(N(INDEX(Substances!$L$2:$L$60,MATCH($C51,Substances!$A$2:$A$60,0)))&lt;&gt;0,0.133322*10^(INDEX(Substances!$L$2:$L$60,MATCH($C51,Substances!$A$2:$A$60,0))-INDEX(Substances!$M$2:$M$60,MATCH($C51,Substances!$A$2:$A$60,0))/(INDEX(Substances!$N$2:$N$60,MATCH($C51,Substances!$A$2:$A$60,0))+$H51)),101.325*EXP(10.58*(1-($Y51+273.15)/$AE51)))))),"—"))</f>
        <v/>
      </c>
      <c r="AJ51" s="70" t="str">
        <f aca="false">IF($C51="","",IFERROR(IF($D51="Liquid jet",$K51*$J51*0.000001*SQRT(2*$X51*N($G51)*100000),"n/a"),"—"))</f>
        <v/>
      </c>
      <c r="AK51" s="71" t="str">
        <f aca="false">IF($C51="","",IFERROR(IF($D51="Gas/vapour jet",IF($AH51="Choked",$K51*$J51*0.000001*$AD51*SQRT($W51*$U51/($L51*Tables!$B$5*$AE51)*(2/($W51+1))^(($W51+1)/($W51-1))),$K51*$J51*0.000001*$AD51*SQRT($U51/($L51*Tables!$B$5*$AE51)*(2*$W51/($W51-1))*(1-(Tables!$B$4/$AD51)^(($W51-1)/$W51))*(Tables!$B$4/$AD51)^(2/$W51))),IF($D51="Liquid jet",$AJ51*IF($M51&lt;&gt;"",$M51,IF($H51&gt;=$Y51,1,0)),6.55*$O51^0.78*$N51*$AI51*$U51^0.667/(Tables!$B$5*$AE51))),"—"))</f>
        <v/>
      </c>
      <c r="AL51" s="72" t="str">
        <f aca="false">IF($C51="","",IFERROR(Tables!$B$10*$U51*$V51,"—"))</f>
        <v/>
      </c>
      <c r="AM51" s="69" t="str">
        <f aca="false">IF($C51="","",IFERROR(INDEX(Tables!$B$15:$B$17,MATCH($E51,Tables!$A$15:$A$17,0)),"—"))</f>
        <v/>
      </c>
      <c r="AN51" s="70" t="str">
        <f aca="false">IF($C51="","",IFERROR($AK51/($AM51*$AL51)*$AF51/Tables!$B$9,"—"))</f>
        <v/>
      </c>
      <c r="AO51" s="72" t="str">
        <f aca="false">IF($C51="","",IFERROR(IF($F51="Outdoor",Tables!$B$8,$R51/3600),"—"))</f>
        <v/>
      </c>
      <c r="AP51" s="73" t="str">
        <f aca="false">IF($C51="","",IFERROR($S51*$AN51/$AO51,"—"))</f>
        <v/>
      </c>
      <c r="AQ51" s="74" t="str">
        <f aca="false">IF($C51="","",IFERROR(IF($AP51&lt;Tables!$B$7,"High",IF($F51="Outdoor","Medium",IF($AP51&lt;$Q51,"Medium","Low"))),"—"))</f>
        <v/>
      </c>
      <c r="AR51" s="75" t="str">
        <f aca="false">IF($C51="","",IFERROR(-$S51/$AO51*LN($V51*$AM51/Tables!$B$6)/60,"—"))</f>
        <v/>
      </c>
      <c r="AS51" s="76" t="str">
        <f aca="false">IF($C51="","",IFERROR(INDEX(Tables!$B$22:$J$24,MATCH($E51,Tables!$A$22:$A$24,0),MATCH($AQ51&amp;"-"&amp;$T51,Tables!$B$21:$J$21,0)),"—"))</f>
        <v/>
      </c>
      <c r="AT51" s="77" t="str">
        <f aca="false">IF($C51="","",IFERROR((3*$AP51/(2*PI()))^(1/3),"—"))</f>
        <v/>
      </c>
      <c r="AU51" s="78" t="str">
        <f aca="false">IF($C51="","",IFERROR(IF(ISNUMBER(SEARCH("Zone 0",IFERROR(LEFT($AS51,FIND("(",$AS51)-1),$AS51))),"Ga",IF(ISNUMBER(SEARCH("Zone 1",IFERROR(LEFT($AS51,FIND("(",$AS51)-1),$AS51))),"Gb",IF(ISNUMBER(SEARCH("Zone 2",IFERROR(LEFT($AS51,FIND("(",$AS51)-1),$AS51))),"Gc","None required"))),"—"))</f>
        <v/>
      </c>
      <c r="AV51" s="74" t="str">
        <f aca="false">IF($C51="","",IFERROR(IF($AU51="None required","—",$AB51&amp;" "&amp;INDEX(Tables!$B$31:$B$37,MATCH($AA51-0.001,Tables!$A$31:$A$37,1))),"—"))</f>
        <v/>
      </c>
      <c r="AW51" s="79" t="str">
        <f aca="false">IF($C51="","",TRIM(IF(IF(ISNUMBER($Z51),$H51&lt;$Z51-5,FALSE()),"Handled &gt;5°C below flash point — may not need zoning (unless mist/spray). ","")&amp;IF(IF(AND($D51="Pool evaporation",ISNUMBER($Y51)),$H51&gt;=$Y51,FALSE()),"Liquid at/above boiling point — pool equation not valid, treat as gas release. ","")&amp;IF(IF(AND($D51="Liquid jet",$M51="",ISNUMBER($Y51)),$H51&lt;$Y51,FALSE()),"Non-flashing liquid: vapour rate set to 0 — model the resulting pool on its own row. ","")&amp;IF(AND($D51="Gas/vapour jet",NOT(ISNUMBER($W51))),"No γ in library for this substance. ","")&amp;IF(IF(ISNUMBER($AC51),$AC51&gt;1.2,FALSE()),"Heavier than air — extend zone at low level / into pits and drains. ","")&amp;IF($AQ51="Low","Vz ≥ V0: ventilation cannot control the release — whole room affected. ","")&amp;IF(AND($F51="Indoor",OR($Q51="",$R51="")),"Indoor: enter room volume and air changes. ","")))</f>
        <v/>
      </c>
    </row>
    <row r="52" customFormat="false" ht="15" hidden="false" customHeight="false" outlineLevel="0" collapsed="false">
      <c r="A52" s="56"/>
      <c r="B52" s="57"/>
      <c r="C52" s="56"/>
      <c r="D52" s="56"/>
      <c r="E52" s="56"/>
      <c r="F52" s="56"/>
      <c r="G52" s="58"/>
      <c r="H52" s="59"/>
      <c r="I52" s="59"/>
      <c r="J52" s="60"/>
      <c r="K52" s="58"/>
      <c r="L52" s="58"/>
      <c r="M52" s="58"/>
      <c r="N52" s="58"/>
      <c r="O52" s="58"/>
      <c r="P52" s="58"/>
      <c r="Q52" s="61"/>
      <c r="R52" s="59"/>
      <c r="S52" s="59"/>
      <c r="T52" s="56"/>
      <c r="U52" s="62" t="str">
        <f aca="false">IF($C52="","",IFERROR(IF(INDEX(Substances!$C$2:$C$60,MATCH($C52,Substances!$A$2:$A$60,0))="","",INDEX(Substances!$C$2:$C$60,MATCH($C52,Substances!$A$2:$A$60,0))),"—"))</f>
        <v/>
      </c>
      <c r="V52" s="63" t="str">
        <f aca="false">IF($C52="","",IFERROR(IF(INDEX(Substances!$D$2:$D$60,MATCH($C52,Substances!$A$2:$A$60,0))="","",INDEX(Substances!$D$2:$D$60,MATCH($C52,Substances!$A$2:$A$60,0))),"—"))</f>
        <v/>
      </c>
      <c r="W52" s="62" t="str">
        <f aca="false">IF($C52="","",IFERROR(IF(INDEX(Substances!$F$2:$F$60,MATCH($C52,Substances!$A$2:$A$60,0))="","",INDEX(Substances!$F$2:$F$60,MATCH($C52,Substances!$A$2:$A$60,0))),"—"))</f>
        <v/>
      </c>
      <c r="X52" s="64" t="str">
        <f aca="false">IF($C52="","",IFERROR(IF(INDEX(Substances!$G$2:$G$60,MATCH($C52,Substances!$A$2:$A$60,0))="","",INDEX(Substances!$G$2:$G$60,MATCH($C52,Substances!$A$2:$A$60,0))),"—"))</f>
        <v/>
      </c>
      <c r="Y52" s="63" t="str">
        <f aca="false">IF($C52="","",IFERROR(IF(INDEX(Substances!$H$2:$H$60,MATCH($C52,Substances!$A$2:$A$60,0))="","",INDEX(Substances!$H$2:$H$60,MATCH($C52,Substances!$A$2:$A$60,0))),"—"))</f>
        <v/>
      </c>
      <c r="Z52" s="64" t="str">
        <f aca="false">IF($C52="","",IFERROR(IF(INDEX(Substances!$I$2:$I$60,MATCH($C52,Substances!$A$2:$A$60,0))="","",INDEX(Substances!$I$2:$I$60,MATCH($C52,Substances!$A$2:$A$60,0))),"—"))</f>
        <v/>
      </c>
      <c r="AA52" s="64" t="str">
        <f aca="false">IF($C52="","",IFERROR(IF(INDEX(Substances!$J$2:$J$60,MATCH($C52,Substances!$A$2:$A$60,0))="","",INDEX(Substances!$J$2:$J$60,MATCH($C52,Substances!$A$2:$A$60,0))),"—"))</f>
        <v/>
      </c>
      <c r="AB52" s="65" t="str">
        <f aca="false">IF($C52="","",IFERROR(IF(INDEX(Substances!$K$2:$K$60,MATCH($C52,Substances!$A$2:$A$60,0))="","",INDEX(Substances!$K$2:$K$60,MATCH($C52,Substances!$A$2:$A$60,0))),"—"))</f>
        <v/>
      </c>
      <c r="AC52" s="62" t="str">
        <f aca="false">IF($C52="","",IFERROR($U52/28.96,"—"))</f>
        <v/>
      </c>
      <c r="AD52" s="66" t="str">
        <f aca="false">IF($C52="","",IFERROR(N($G52)*100000+Tables!$B$4,"—"))</f>
        <v/>
      </c>
      <c r="AE52" s="67" t="str">
        <f aca="false">IF($C52="","",IFERROR($H52+273.15,"—"))</f>
        <v/>
      </c>
      <c r="AF52" s="67" t="str">
        <f aca="false">IF($C52="","",IFERROR($I52+273.15,"—"))</f>
        <v/>
      </c>
      <c r="AG52" s="66" t="str">
        <f aca="false">IF($C52="","",IFERROR(IF($D52="Gas/vapour jet",Tables!$B$4*(($W52+1)/2)^($W52/($W52-1)),"n/a"),"—"))</f>
        <v/>
      </c>
      <c r="AH52" s="68" t="str">
        <f aca="false">IF($C52="","",IFERROR(IF($D52="Gas/vapour jet",IF($AD52&gt;$AG52,"Choked","Subsonic"),"n/a"),"—"))</f>
        <v/>
      </c>
      <c r="AI52" s="69" t="str">
        <f aca="false">IF($C52="","",IFERROR(IF($D52="Gas/vapour jet","n/a",MIN(101.325,IF($P52&lt;&gt;"",$P52,IF(N(INDEX(Substances!$L$2:$L$60,MATCH($C52,Substances!$A$2:$A$60,0)))&lt;&gt;0,0.133322*10^(INDEX(Substances!$L$2:$L$60,MATCH($C52,Substances!$A$2:$A$60,0))-INDEX(Substances!$M$2:$M$60,MATCH($C52,Substances!$A$2:$A$60,0))/(INDEX(Substances!$N$2:$N$60,MATCH($C52,Substances!$A$2:$A$60,0))+$H52)),101.325*EXP(10.58*(1-($Y52+273.15)/$AE52)))))),"—"))</f>
        <v/>
      </c>
      <c r="AJ52" s="70" t="str">
        <f aca="false">IF($C52="","",IFERROR(IF($D52="Liquid jet",$K52*$J52*0.000001*SQRT(2*$X52*N($G52)*100000),"n/a"),"—"))</f>
        <v/>
      </c>
      <c r="AK52" s="71" t="str">
        <f aca="false">IF($C52="","",IFERROR(IF($D52="Gas/vapour jet",IF($AH52="Choked",$K52*$J52*0.000001*$AD52*SQRT($W52*$U52/($L52*Tables!$B$5*$AE52)*(2/($W52+1))^(($W52+1)/($W52-1))),$K52*$J52*0.000001*$AD52*SQRT($U52/($L52*Tables!$B$5*$AE52)*(2*$W52/($W52-1))*(1-(Tables!$B$4/$AD52)^(($W52-1)/$W52))*(Tables!$B$4/$AD52)^(2/$W52))),IF($D52="Liquid jet",$AJ52*IF($M52&lt;&gt;"",$M52,IF($H52&gt;=$Y52,1,0)),6.55*$O52^0.78*$N52*$AI52*$U52^0.667/(Tables!$B$5*$AE52))),"—"))</f>
        <v/>
      </c>
      <c r="AL52" s="72" t="str">
        <f aca="false">IF($C52="","",IFERROR(Tables!$B$10*$U52*$V52,"—"))</f>
        <v/>
      </c>
      <c r="AM52" s="69" t="str">
        <f aca="false">IF($C52="","",IFERROR(INDEX(Tables!$B$15:$B$17,MATCH($E52,Tables!$A$15:$A$17,0)),"—"))</f>
        <v/>
      </c>
      <c r="AN52" s="70" t="str">
        <f aca="false">IF($C52="","",IFERROR($AK52/($AM52*$AL52)*$AF52/Tables!$B$9,"—"))</f>
        <v/>
      </c>
      <c r="AO52" s="72" t="str">
        <f aca="false">IF($C52="","",IFERROR(IF($F52="Outdoor",Tables!$B$8,$R52/3600),"—"))</f>
        <v/>
      </c>
      <c r="AP52" s="73" t="str">
        <f aca="false">IF($C52="","",IFERROR($S52*$AN52/$AO52,"—"))</f>
        <v/>
      </c>
      <c r="AQ52" s="74" t="str">
        <f aca="false">IF($C52="","",IFERROR(IF($AP52&lt;Tables!$B$7,"High",IF($F52="Outdoor","Medium",IF($AP52&lt;$Q52,"Medium","Low"))),"—"))</f>
        <v/>
      </c>
      <c r="AR52" s="75" t="str">
        <f aca="false">IF($C52="","",IFERROR(-$S52/$AO52*LN($V52*$AM52/Tables!$B$6)/60,"—"))</f>
        <v/>
      </c>
      <c r="AS52" s="76" t="str">
        <f aca="false">IF($C52="","",IFERROR(INDEX(Tables!$B$22:$J$24,MATCH($E52,Tables!$A$22:$A$24,0),MATCH($AQ52&amp;"-"&amp;$T52,Tables!$B$21:$J$21,0)),"—"))</f>
        <v/>
      </c>
      <c r="AT52" s="77" t="str">
        <f aca="false">IF($C52="","",IFERROR((3*$AP52/(2*PI()))^(1/3),"—"))</f>
        <v/>
      </c>
      <c r="AU52" s="78" t="str">
        <f aca="false">IF($C52="","",IFERROR(IF(ISNUMBER(SEARCH("Zone 0",IFERROR(LEFT($AS52,FIND("(",$AS52)-1),$AS52))),"Ga",IF(ISNUMBER(SEARCH("Zone 1",IFERROR(LEFT($AS52,FIND("(",$AS52)-1),$AS52))),"Gb",IF(ISNUMBER(SEARCH("Zone 2",IFERROR(LEFT($AS52,FIND("(",$AS52)-1),$AS52))),"Gc","None required"))),"—"))</f>
        <v/>
      </c>
      <c r="AV52" s="74" t="str">
        <f aca="false">IF($C52="","",IFERROR(IF($AU52="None required","—",$AB52&amp;" "&amp;INDEX(Tables!$B$31:$B$37,MATCH($AA52-0.001,Tables!$A$31:$A$37,1))),"—"))</f>
        <v/>
      </c>
      <c r="AW52" s="79" t="str">
        <f aca="false">IF($C52="","",TRIM(IF(IF(ISNUMBER($Z52),$H52&lt;$Z52-5,FALSE()),"Handled &gt;5°C below flash point — may not need zoning (unless mist/spray). ","")&amp;IF(IF(AND($D52="Pool evaporation",ISNUMBER($Y52)),$H52&gt;=$Y52,FALSE()),"Liquid at/above boiling point — pool equation not valid, treat as gas release. ","")&amp;IF(IF(AND($D52="Liquid jet",$M52="",ISNUMBER($Y52)),$H52&lt;$Y52,FALSE()),"Non-flashing liquid: vapour rate set to 0 — model the resulting pool on its own row. ","")&amp;IF(AND($D52="Gas/vapour jet",NOT(ISNUMBER($W52))),"No γ in library for this substance. ","")&amp;IF(IF(ISNUMBER($AC52),$AC52&gt;1.2,FALSE()),"Heavier than air — extend zone at low level / into pits and drains. ","")&amp;IF($AQ52="Low","Vz ≥ V0: ventilation cannot control the release — whole room affected. ","")&amp;IF(AND($F52="Indoor",OR($Q52="",$R52="")),"Indoor: enter room volume and air changes. ","")))</f>
        <v/>
      </c>
    </row>
    <row r="53" customFormat="false" ht="15" hidden="false" customHeight="false" outlineLevel="0" collapsed="false">
      <c r="A53" s="56"/>
      <c r="B53" s="57"/>
      <c r="C53" s="56"/>
      <c r="D53" s="56"/>
      <c r="E53" s="56"/>
      <c r="F53" s="56"/>
      <c r="G53" s="58"/>
      <c r="H53" s="59"/>
      <c r="I53" s="59"/>
      <c r="J53" s="60"/>
      <c r="K53" s="58"/>
      <c r="L53" s="58"/>
      <c r="M53" s="58"/>
      <c r="N53" s="58"/>
      <c r="O53" s="58"/>
      <c r="P53" s="58"/>
      <c r="Q53" s="61"/>
      <c r="R53" s="59"/>
      <c r="S53" s="59"/>
      <c r="T53" s="56"/>
      <c r="U53" s="62" t="str">
        <f aca="false">IF($C53="","",IFERROR(IF(INDEX(Substances!$C$2:$C$60,MATCH($C53,Substances!$A$2:$A$60,0))="","",INDEX(Substances!$C$2:$C$60,MATCH($C53,Substances!$A$2:$A$60,0))),"—"))</f>
        <v/>
      </c>
      <c r="V53" s="63" t="str">
        <f aca="false">IF($C53="","",IFERROR(IF(INDEX(Substances!$D$2:$D$60,MATCH($C53,Substances!$A$2:$A$60,0))="","",INDEX(Substances!$D$2:$D$60,MATCH($C53,Substances!$A$2:$A$60,0))),"—"))</f>
        <v/>
      </c>
      <c r="W53" s="62" t="str">
        <f aca="false">IF($C53="","",IFERROR(IF(INDEX(Substances!$F$2:$F$60,MATCH($C53,Substances!$A$2:$A$60,0))="","",INDEX(Substances!$F$2:$F$60,MATCH($C53,Substances!$A$2:$A$60,0))),"—"))</f>
        <v/>
      </c>
      <c r="X53" s="64" t="str">
        <f aca="false">IF($C53="","",IFERROR(IF(INDEX(Substances!$G$2:$G$60,MATCH($C53,Substances!$A$2:$A$60,0))="","",INDEX(Substances!$G$2:$G$60,MATCH($C53,Substances!$A$2:$A$60,0))),"—"))</f>
        <v/>
      </c>
      <c r="Y53" s="63" t="str">
        <f aca="false">IF($C53="","",IFERROR(IF(INDEX(Substances!$H$2:$H$60,MATCH($C53,Substances!$A$2:$A$60,0))="","",INDEX(Substances!$H$2:$H$60,MATCH($C53,Substances!$A$2:$A$60,0))),"—"))</f>
        <v/>
      </c>
      <c r="Z53" s="64" t="str">
        <f aca="false">IF($C53="","",IFERROR(IF(INDEX(Substances!$I$2:$I$60,MATCH($C53,Substances!$A$2:$A$60,0))="","",INDEX(Substances!$I$2:$I$60,MATCH($C53,Substances!$A$2:$A$60,0))),"—"))</f>
        <v/>
      </c>
      <c r="AA53" s="64" t="str">
        <f aca="false">IF($C53="","",IFERROR(IF(INDEX(Substances!$J$2:$J$60,MATCH($C53,Substances!$A$2:$A$60,0))="","",INDEX(Substances!$J$2:$J$60,MATCH($C53,Substances!$A$2:$A$60,0))),"—"))</f>
        <v/>
      </c>
      <c r="AB53" s="65" t="str">
        <f aca="false">IF($C53="","",IFERROR(IF(INDEX(Substances!$K$2:$K$60,MATCH($C53,Substances!$A$2:$A$60,0))="","",INDEX(Substances!$K$2:$K$60,MATCH($C53,Substances!$A$2:$A$60,0))),"—"))</f>
        <v/>
      </c>
      <c r="AC53" s="62" t="str">
        <f aca="false">IF($C53="","",IFERROR($U53/28.96,"—"))</f>
        <v/>
      </c>
      <c r="AD53" s="66" t="str">
        <f aca="false">IF($C53="","",IFERROR(N($G53)*100000+Tables!$B$4,"—"))</f>
        <v/>
      </c>
      <c r="AE53" s="67" t="str">
        <f aca="false">IF($C53="","",IFERROR($H53+273.15,"—"))</f>
        <v/>
      </c>
      <c r="AF53" s="67" t="str">
        <f aca="false">IF($C53="","",IFERROR($I53+273.15,"—"))</f>
        <v/>
      </c>
      <c r="AG53" s="66" t="str">
        <f aca="false">IF($C53="","",IFERROR(IF($D53="Gas/vapour jet",Tables!$B$4*(($W53+1)/2)^($W53/($W53-1)),"n/a"),"—"))</f>
        <v/>
      </c>
      <c r="AH53" s="68" t="str">
        <f aca="false">IF($C53="","",IFERROR(IF($D53="Gas/vapour jet",IF($AD53&gt;$AG53,"Choked","Subsonic"),"n/a"),"—"))</f>
        <v/>
      </c>
      <c r="AI53" s="69" t="str">
        <f aca="false">IF($C53="","",IFERROR(IF($D53="Gas/vapour jet","n/a",MIN(101.325,IF($P53&lt;&gt;"",$P53,IF(N(INDEX(Substances!$L$2:$L$60,MATCH($C53,Substances!$A$2:$A$60,0)))&lt;&gt;0,0.133322*10^(INDEX(Substances!$L$2:$L$60,MATCH($C53,Substances!$A$2:$A$60,0))-INDEX(Substances!$M$2:$M$60,MATCH($C53,Substances!$A$2:$A$60,0))/(INDEX(Substances!$N$2:$N$60,MATCH($C53,Substances!$A$2:$A$60,0))+$H53)),101.325*EXP(10.58*(1-($Y53+273.15)/$AE53)))))),"—"))</f>
        <v/>
      </c>
      <c r="AJ53" s="70" t="str">
        <f aca="false">IF($C53="","",IFERROR(IF($D53="Liquid jet",$K53*$J53*0.000001*SQRT(2*$X53*N($G53)*100000),"n/a"),"—"))</f>
        <v/>
      </c>
      <c r="AK53" s="71" t="str">
        <f aca="false">IF($C53="","",IFERROR(IF($D53="Gas/vapour jet",IF($AH53="Choked",$K53*$J53*0.000001*$AD53*SQRT($W53*$U53/($L53*Tables!$B$5*$AE53)*(2/($W53+1))^(($W53+1)/($W53-1))),$K53*$J53*0.000001*$AD53*SQRT($U53/($L53*Tables!$B$5*$AE53)*(2*$W53/($W53-1))*(1-(Tables!$B$4/$AD53)^(($W53-1)/$W53))*(Tables!$B$4/$AD53)^(2/$W53))),IF($D53="Liquid jet",$AJ53*IF($M53&lt;&gt;"",$M53,IF($H53&gt;=$Y53,1,0)),6.55*$O53^0.78*$N53*$AI53*$U53^0.667/(Tables!$B$5*$AE53))),"—"))</f>
        <v/>
      </c>
      <c r="AL53" s="72" t="str">
        <f aca="false">IF($C53="","",IFERROR(Tables!$B$10*$U53*$V53,"—"))</f>
        <v/>
      </c>
      <c r="AM53" s="69" t="str">
        <f aca="false">IF($C53="","",IFERROR(INDEX(Tables!$B$15:$B$17,MATCH($E53,Tables!$A$15:$A$17,0)),"—"))</f>
        <v/>
      </c>
      <c r="AN53" s="70" t="str">
        <f aca="false">IF($C53="","",IFERROR($AK53/($AM53*$AL53)*$AF53/Tables!$B$9,"—"))</f>
        <v/>
      </c>
      <c r="AO53" s="72" t="str">
        <f aca="false">IF($C53="","",IFERROR(IF($F53="Outdoor",Tables!$B$8,$R53/3600),"—"))</f>
        <v/>
      </c>
      <c r="AP53" s="73" t="str">
        <f aca="false">IF($C53="","",IFERROR($S53*$AN53/$AO53,"—"))</f>
        <v/>
      </c>
      <c r="AQ53" s="74" t="str">
        <f aca="false">IF($C53="","",IFERROR(IF($AP53&lt;Tables!$B$7,"High",IF($F53="Outdoor","Medium",IF($AP53&lt;$Q53,"Medium","Low"))),"—"))</f>
        <v/>
      </c>
      <c r="AR53" s="75" t="str">
        <f aca="false">IF($C53="","",IFERROR(-$S53/$AO53*LN($V53*$AM53/Tables!$B$6)/60,"—"))</f>
        <v/>
      </c>
      <c r="AS53" s="76" t="str">
        <f aca="false">IF($C53="","",IFERROR(INDEX(Tables!$B$22:$J$24,MATCH($E53,Tables!$A$22:$A$24,0),MATCH($AQ53&amp;"-"&amp;$T53,Tables!$B$21:$J$21,0)),"—"))</f>
        <v/>
      </c>
      <c r="AT53" s="77" t="str">
        <f aca="false">IF($C53="","",IFERROR((3*$AP53/(2*PI()))^(1/3),"—"))</f>
        <v/>
      </c>
      <c r="AU53" s="78" t="str">
        <f aca="false">IF($C53="","",IFERROR(IF(ISNUMBER(SEARCH("Zone 0",IFERROR(LEFT($AS53,FIND("(",$AS53)-1),$AS53))),"Ga",IF(ISNUMBER(SEARCH("Zone 1",IFERROR(LEFT($AS53,FIND("(",$AS53)-1),$AS53))),"Gb",IF(ISNUMBER(SEARCH("Zone 2",IFERROR(LEFT($AS53,FIND("(",$AS53)-1),$AS53))),"Gc","None required"))),"—"))</f>
        <v/>
      </c>
      <c r="AV53" s="74" t="str">
        <f aca="false">IF($C53="","",IFERROR(IF($AU53="None required","—",$AB53&amp;" "&amp;INDEX(Tables!$B$31:$B$37,MATCH($AA53-0.001,Tables!$A$31:$A$37,1))),"—"))</f>
        <v/>
      </c>
      <c r="AW53" s="79" t="str">
        <f aca="false">IF($C53="","",TRIM(IF(IF(ISNUMBER($Z53),$H53&lt;$Z53-5,FALSE()),"Handled &gt;5°C below flash point — may not need zoning (unless mist/spray). ","")&amp;IF(IF(AND($D53="Pool evaporation",ISNUMBER($Y53)),$H53&gt;=$Y53,FALSE()),"Liquid at/above boiling point — pool equation not valid, treat as gas release. ","")&amp;IF(IF(AND($D53="Liquid jet",$M53="",ISNUMBER($Y53)),$H53&lt;$Y53,FALSE()),"Non-flashing liquid: vapour rate set to 0 — model the resulting pool on its own row. ","")&amp;IF(AND($D53="Gas/vapour jet",NOT(ISNUMBER($W53))),"No γ in library for this substance. ","")&amp;IF(IF(ISNUMBER($AC53),$AC53&gt;1.2,FALSE()),"Heavier than air — extend zone at low level / into pits and drains. ","")&amp;IF($AQ53="Low","Vz ≥ V0: ventilation cannot control the release — whole room affected. ","")&amp;IF(AND($F53="Indoor",OR($Q53="",$R53="")),"Indoor: enter room volume and air changes. ","")))</f>
        <v/>
      </c>
    </row>
    <row r="54" customFormat="false" ht="15" hidden="false" customHeight="false" outlineLevel="0" collapsed="false">
      <c r="A54" s="56"/>
      <c r="B54" s="57"/>
      <c r="C54" s="56"/>
      <c r="D54" s="56"/>
      <c r="E54" s="56"/>
      <c r="F54" s="56"/>
      <c r="G54" s="58"/>
      <c r="H54" s="59"/>
      <c r="I54" s="59"/>
      <c r="J54" s="60"/>
      <c r="K54" s="58"/>
      <c r="L54" s="58"/>
      <c r="M54" s="58"/>
      <c r="N54" s="58"/>
      <c r="O54" s="58"/>
      <c r="P54" s="58"/>
      <c r="Q54" s="61"/>
      <c r="R54" s="59"/>
      <c r="S54" s="59"/>
      <c r="T54" s="56"/>
      <c r="U54" s="62" t="str">
        <f aca="false">IF($C54="","",IFERROR(IF(INDEX(Substances!$C$2:$C$60,MATCH($C54,Substances!$A$2:$A$60,0))="","",INDEX(Substances!$C$2:$C$60,MATCH($C54,Substances!$A$2:$A$60,0))),"—"))</f>
        <v/>
      </c>
      <c r="V54" s="63" t="str">
        <f aca="false">IF($C54="","",IFERROR(IF(INDEX(Substances!$D$2:$D$60,MATCH($C54,Substances!$A$2:$A$60,0))="","",INDEX(Substances!$D$2:$D$60,MATCH($C54,Substances!$A$2:$A$60,0))),"—"))</f>
        <v/>
      </c>
      <c r="W54" s="62" t="str">
        <f aca="false">IF($C54="","",IFERROR(IF(INDEX(Substances!$F$2:$F$60,MATCH($C54,Substances!$A$2:$A$60,0))="","",INDEX(Substances!$F$2:$F$60,MATCH($C54,Substances!$A$2:$A$60,0))),"—"))</f>
        <v/>
      </c>
      <c r="X54" s="64" t="str">
        <f aca="false">IF($C54="","",IFERROR(IF(INDEX(Substances!$G$2:$G$60,MATCH($C54,Substances!$A$2:$A$60,0))="","",INDEX(Substances!$G$2:$G$60,MATCH($C54,Substances!$A$2:$A$60,0))),"—"))</f>
        <v/>
      </c>
      <c r="Y54" s="63" t="str">
        <f aca="false">IF($C54="","",IFERROR(IF(INDEX(Substances!$H$2:$H$60,MATCH($C54,Substances!$A$2:$A$60,0))="","",INDEX(Substances!$H$2:$H$60,MATCH($C54,Substances!$A$2:$A$60,0))),"—"))</f>
        <v/>
      </c>
      <c r="Z54" s="64" t="str">
        <f aca="false">IF($C54="","",IFERROR(IF(INDEX(Substances!$I$2:$I$60,MATCH($C54,Substances!$A$2:$A$60,0))="","",INDEX(Substances!$I$2:$I$60,MATCH($C54,Substances!$A$2:$A$60,0))),"—"))</f>
        <v/>
      </c>
      <c r="AA54" s="64" t="str">
        <f aca="false">IF($C54="","",IFERROR(IF(INDEX(Substances!$J$2:$J$60,MATCH($C54,Substances!$A$2:$A$60,0))="","",INDEX(Substances!$J$2:$J$60,MATCH($C54,Substances!$A$2:$A$60,0))),"—"))</f>
        <v/>
      </c>
      <c r="AB54" s="65" t="str">
        <f aca="false">IF($C54="","",IFERROR(IF(INDEX(Substances!$K$2:$K$60,MATCH($C54,Substances!$A$2:$A$60,0))="","",INDEX(Substances!$K$2:$K$60,MATCH($C54,Substances!$A$2:$A$60,0))),"—"))</f>
        <v/>
      </c>
      <c r="AC54" s="62" t="str">
        <f aca="false">IF($C54="","",IFERROR($U54/28.96,"—"))</f>
        <v/>
      </c>
      <c r="AD54" s="66" t="str">
        <f aca="false">IF($C54="","",IFERROR(N($G54)*100000+Tables!$B$4,"—"))</f>
        <v/>
      </c>
      <c r="AE54" s="67" t="str">
        <f aca="false">IF($C54="","",IFERROR($H54+273.15,"—"))</f>
        <v/>
      </c>
      <c r="AF54" s="67" t="str">
        <f aca="false">IF($C54="","",IFERROR($I54+273.15,"—"))</f>
        <v/>
      </c>
      <c r="AG54" s="66" t="str">
        <f aca="false">IF($C54="","",IFERROR(IF($D54="Gas/vapour jet",Tables!$B$4*(($W54+1)/2)^($W54/($W54-1)),"n/a"),"—"))</f>
        <v/>
      </c>
      <c r="AH54" s="68" t="str">
        <f aca="false">IF($C54="","",IFERROR(IF($D54="Gas/vapour jet",IF($AD54&gt;$AG54,"Choked","Subsonic"),"n/a"),"—"))</f>
        <v/>
      </c>
      <c r="AI54" s="69" t="str">
        <f aca="false">IF($C54="","",IFERROR(IF($D54="Gas/vapour jet","n/a",MIN(101.325,IF($P54&lt;&gt;"",$P54,IF(N(INDEX(Substances!$L$2:$L$60,MATCH($C54,Substances!$A$2:$A$60,0)))&lt;&gt;0,0.133322*10^(INDEX(Substances!$L$2:$L$60,MATCH($C54,Substances!$A$2:$A$60,0))-INDEX(Substances!$M$2:$M$60,MATCH($C54,Substances!$A$2:$A$60,0))/(INDEX(Substances!$N$2:$N$60,MATCH($C54,Substances!$A$2:$A$60,0))+$H54)),101.325*EXP(10.58*(1-($Y54+273.15)/$AE54)))))),"—"))</f>
        <v/>
      </c>
      <c r="AJ54" s="70" t="str">
        <f aca="false">IF($C54="","",IFERROR(IF($D54="Liquid jet",$K54*$J54*0.000001*SQRT(2*$X54*N($G54)*100000),"n/a"),"—"))</f>
        <v/>
      </c>
      <c r="AK54" s="71" t="str">
        <f aca="false">IF($C54="","",IFERROR(IF($D54="Gas/vapour jet",IF($AH54="Choked",$K54*$J54*0.000001*$AD54*SQRT($W54*$U54/($L54*Tables!$B$5*$AE54)*(2/($W54+1))^(($W54+1)/($W54-1))),$K54*$J54*0.000001*$AD54*SQRT($U54/($L54*Tables!$B$5*$AE54)*(2*$W54/($W54-1))*(1-(Tables!$B$4/$AD54)^(($W54-1)/$W54))*(Tables!$B$4/$AD54)^(2/$W54))),IF($D54="Liquid jet",$AJ54*IF($M54&lt;&gt;"",$M54,IF($H54&gt;=$Y54,1,0)),6.55*$O54^0.78*$N54*$AI54*$U54^0.667/(Tables!$B$5*$AE54))),"—"))</f>
        <v/>
      </c>
      <c r="AL54" s="72" t="str">
        <f aca="false">IF($C54="","",IFERROR(Tables!$B$10*$U54*$V54,"—"))</f>
        <v/>
      </c>
      <c r="AM54" s="69" t="str">
        <f aca="false">IF($C54="","",IFERROR(INDEX(Tables!$B$15:$B$17,MATCH($E54,Tables!$A$15:$A$17,0)),"—"))</f>
        <v/>
      </c>
      <c r="AN54" s="70" t="str">
        <f aca="false">IF($C54="","",IFERROR($AK54/($AM54*$AL54)*$AF54/Tables!$B$9,"—"))</f>
        <v/>
      </c>
      <c r="AO54" s="72" t="str">
        <f aca="false">IF($C54="","",IFERROR(IF($F54="Outdoor",Tables!$B$8,$R54/3600),"—"))</f>
        <v/>
      </c>
      <c r="AP54" s="73" t="str">
        <f aca="false">IF($C54="","",IFERROR($S54*$AN54/$AO54,"—"))</f>
        <v/>
      </c>
      <c r="AQ54" s="74" t="str">
        <f aca="false">IF($C54="","",IFERROR(IF($AP54&lt;Tables!$B$7,"High",IF($F54="Outdoor","Medium",IF($AP54&lt;$Q54,"Medium","Low"))),"—"))</f>
        <v/>
      </c>
      <c r="AR54" s="75" t="str">
        <f aca="false">IF($C54="","",IFERROR(-$S54/$AO54*LN($V54*$AM54/Tables!$B$6)/60,"—"))</f>
        <v/>
      </c>
      <c r="AS54" s="76" t="str">
        <f aca="false">IF($C54="","",IFERROR(INDEX(Tables!$B$22:$J$24,MATCH($E54,Tables!$A$22:$A$24,0),MATCH($AQ54&amp;"-"&amp;$T54,Tables!$B$21:$J$21,0)),"—"))</f>
        <v/>
      </c>
      <c r="AT54" s="77" t="str">
        <f aca="false">IF($C54="","",IFERROR((3*$AP54/(2*PI()))^(1/3),"—"))</f>
        <v/>
      </c>
      <c r="AU54" s="78" t="str">
        <f aca="false">IF($C54="","",IFERROR(IF(ISNUMBER(SEARCH("Zone 0",IFERROR(LEFT($AS54,FIND("(",$AS54)-1),$AS54))),"Ga",IF(ISNUMBER(SEARCH("Zone 1",IFERROR(LEFT($AS54,FIND("(",$AS54)-1),$AS54))),"Gb",IF(ISNUMBER(SEARCH("Zone 2",IFERROR(LEFT($AS54,FIND("(",$AS54)-1),$AS54))),"Gc","None required"))),"—"))</f>
        <v/>
      </c>
      <c r="AV54" s="74" t="str">
        <f aca="false">IF($C54="","",IFERROR(IF($AU54="None required","—",$AB54&amp;" "&amp;INDEX(Tables!$B$31:$B$37,MATCH($AA54-0.001,Tables!$A$31:$A$37,1))),"—"))</f>
        <v/>
      </c>
      <c r="AW54" s="79" t="str">
        <f aca="false">IF($C54="","",TRIM(IF(IF(ISNUMBER($Z54),$H54&lt;$Z54-5,FALSE()),"Handled &gt;5°C below flash point — may not need zoning (unless mist/spray). ","")&amp;IF(IF(AND($D54="Pool evaporation",ISNUMBER($Y54)),$H54&gt;=$Y54,FALSE()),"Liquid at/above boiling point — pool equation not valid, treat as gas release. ","")&amp;IF(IF(AND($D54="Liquid jet",$M54="",ISNUMBER($Y54)),$H54&lt;$Y54,FALSE()),"Non-flashing liquid: vapour rate set to 0 — model the resulting pool on its own row. ","")&amp;IF(AND($D54="Gas/vapour jet",NOT(ISNUMBER($W54))),"No γ in library for this substance. ","")&amp;IF(IF(ISNUMBER($AC54),$AC54&gt;1.2,FALSE()),"Heavier than air — extend zone at low level / into pits and drains. ","")&amp;IF($AQ54="Low","Vz ≥ V0: ventilation cannot control the release — whole room affected. ","")&amp;IF(AND($F54="Indoor",OR($Q54="",$R54="")),"Indoor: enter room volume and air changes. ","")))</f>
        <v/>
      </c>
    </row>
    <row r="55" customFormat="false" ht="15" hidden="false" customHeight="false" outlineLevel="0" collapsed="false">
      <c r="A55" s="56"/>
      <c r="B55" s="57"/>
      <c r="C55" s="56"/>
      <c r="D55" s="56"/>
      <c r="E55" s="56"/>
      <c r="F55" s="56"/>
      <c r="G55" s="58"/>
      <c r="H55" s="59"/>
      <c r="I55" s="59"/>
      <c r="J55" s="60"/>
      <c r="K55" s="58"/>
      <c r="L55" s="58"/>
      <c r="M55" s="58"/>
      <c r="N55" s="58"/>
      <c r="O55" s="58"/>
      <c r="P55" s="58"/>
      <c r="Q55" s="61"/>
      <c r="R55" s="59"/>
      <c r="S55" s="59"/>
      <c r="T55" s="56"/>
      <c r="U55" s="62" t="str">
        <f aca="false">IF($C55="","",IFERROR(IF(INDEX(Substances!$C$2:$C$60,MATCH($C55,Substances!$A$2:$A$60,0))="","",INDEX(Substances!$C$2:$C$60,MATCH($C55,Substances!$A$2:$A$60,0))),"—"))</f>
        <v/>
      </c>
      <c r="V55" s="63" t="str">
        <f aca="false">IF($C55="","",IFERROR(IF(INDEX(Substances!$D$2:$D$60,MATCH($C55,Substances!$A$2:$A$60,0))="","",INDEX(Substances!$D$2:$D$60,MATCH($C55,Substances!$A$2:$A$60,0))),"—"))</f>
        <v/>
      </c>
      <c r="W55" s="62" t="str">
        <f aca="false">IF($C55="","",IFERROR(IF(INDEX(Substances!$F$2:$F$60,MATCH($C55,Substances!$A$2:$A$60,0))="","",INDEX(Substances!$F$2:$F$60,MATCH($C55,Substances!$A$2:$A$60,0))),"—"))</f>
        <v/>
      </c>
      <c r="X55" s="64" t="str">
        <f aca="false">IF($C55="","",IFERROR(IF(INDEX(Substances!$G$2:$G$60,MATCH($C55,Substances!$A$2:$A$60,0))="","",INDEX(Substances!$G$2:$G$60,MATCH($C55,Substances!$A$2:$A$60,0))),"—"))</f>
        <v/>
      </c>
      <c r="Y55" s="63" t="str">
        <f aca="false">IF($C55="","",IFERROR(IF(INDEX(Substances!$H$2:$H$60,MATCH($C55,Substances!$A$2:$A$60,0))="","",INDEX(Substances!$H$2:$H$60,MATCH($C55,Substances!$A$2:$A$60,0))),"—"))</f>
        <v/>
      </c>
      <c r="Z55" s="64" t="str">
        <f aca="false">IF($C55="","",IFERROR(IF(INDEX(Substances!$I$2:$I$60,MATCH($C55,Substances!$A$2:$A$60,0))="","",INDEX(Substances!$I$2:$I$60,MATCH($C55,Substances!$A$2:$A$60,0))),"—"))</f>
        <v/>
      </c>
      <c r="AA55" s="64" t="str">
        <f aca="false">IF($C55="","",IFERROR(IF(INDEX(Substances!$J$2:$J$60,MATCH($C55,Substances!$A$2:$A$60,0))="","",INDEX(Substances!$J$2:$J$60,MATCH($C55,Substances!$A$2:$A$60,0))),"—"))</f>
        <v/>
      </c>
      <c r="AB55" s="65" t="str">
        <f aca="false">IF($C55="","",IFERROR(IF(INDEX(Substances!$K$2:$K$60,MATCH($C55,Substances!$A$2:$A$60,0))="","",INDEX(Substances!$K$2:$K$60,MATCH($C55,Substances!$A$2:$A$60,0))),"—"))</f>
        <v/>
      </c>
      <c r="AC55" s="62" t="str">
        <f aca="false">IF($C55="","",IFERROR($U55/28.96,"—"))</f>
        <v/>
      </c>
      <c r="AD55" s="66" t="str">
        <f aca="false">IF($C55="","",IFERROR(N($G55)*100000+Tables!$B$4,"—"))</f>
        <v/>
      </c>
      <c r="AE55" s="67" t="str">
        <f aca="false">IF($C55="","",IFERROR($H55+273.15,"—"))</f>
        <v/>
      </c>
      <c r="AF55" s="67" t="str">
        <f aca="false">IF($C55="","",IFERROR($I55+273.15,"—"))</f>
        <v/>
      </c>
      <c r="AG55" s="66" t="str">
        <f aca="false">IF($C55="","",IFERROR(IF($D55="Gas/vapour jet",Tables!$B$4*(($W55+1)/2)^($W55/($W55-1)),"n/a"),"—"))</f>
        <v/>
      </c>
      <c r="AH55" s="68" t="str">
        <f aca="false">IF($C55="","",IFERROR(IF($D55="Gas/vapour jet",IF($AD55&gt;$AG55,"Choked","Subsonic"),"n/a"),"—"))</f>
        <v/>
      </c>
      <c r="AI55" s="69" t="str">
        <f aca="false">IF($C55="","",IFERROR(IF($D55="Gas/vapour jet","n/a",MIN(101.325,IF($P55&lt;&gt;"",$P55,IF(N(INDEX(Substances!$L$2:$L$60,MATCH($C55,Substances!$A$2:$A$60,0)))&lt;&gt;0,0.133322*10^(INDEX(Substances!$L$2:$L$60,MATCH($C55,Substances!$A$2:$A$60,0))-INDEX(Substances!$M$2:$M$60,MATCH($C55,Substances!$A$2:$A$60,0))/(INDEX(Substances!$N$2:$N$60,MATCH($C55,Substances!$A$2:$A$60,0))+$H55)),101.325*EXP(10.58*(1-($Y55+273.15)/$AE55)))))),"—"))</f>
        <v/>
      </c>
      <c r="AJ55" s="70" t="str">
        <f aca="false">IF($C55="","",IFERROR(IF($D55="Liquid jet",$K55*$J55*0.000001*SQRT(2*$X55*N($G55)*100000),"n/a"),"—"))</f>
        <v/>
      </c>
      <c r="AK55" s="71" t="str">
        <f aca="false">IF($C55="","",IFERROR(IF($D55="Gas/vapour jet",IF($AH55="Choked",$K55*$J55*0.000001*$AD55*SQRT($W55*$U55/($L55*Tables!$B$5*$AE55)*(2/($W55+1))^(($W55+1)/($W55-1))),$K55*$J55*0.000001*$AD55*SQRT($U55/($L55*Tables!$B$5*$AE55)*(2*$W55/($W55-1))*(1-(Tables!$B$4/$AD55)^(($W55-1)/$W55))*(Tables!$B$4/$AD55)^(2/$W55))),IF($D55="Liquid jet",$AJ55*IF($M55&lt;&gt;"",$M55,IF($H55&gt;=$Y55,1,0)),6.55*$O55^0.78*$N55*$AI55*$U55^0.667/(Tables!$B$5*$AE55))),"—"))</f>
        <v/>
      </c>
      <c r="AL55" s="72" t="str">
        <f aca="false">IF($C55="","",IFERROR(Tables!$B$10*$U55*$V55,"—"))</f>
        <v/>
      </c>
      <c r="AM55" s="69" t="str">
        <f aca="false">IF($C55="","",IFERROR(INDEX(Tables!$B$15:$B$17,MATCH($E55,Tables!$A$15:$A$17,0)),"—"))</f>
        <v/>
      </c>
      <c r="AN55" s="70" t="str">
        <f aca="false">IF($C55="","",IFERROR($AK55/($AM55*$AL55)*$AF55/Tables!$B$9,"—"))</f>
        <v/>
      </c>
      <c r="AO55" s="72" t="str">
        <f aca="false">IF($C55="","",IFERROR(IF($F55="Outdoor",Tables!$B$8,$R55/3600),"—"))</f>
        <v/>
      </c>
      <c r="AP55" s="73" t="str">
        <f aca="false">IF($C55="","",IFERROR($S55*$AN55/$AO55,"—"))</f>
        <v/>
      </c>
      <c r="AQ55" s="74" t="str">
        <f aca="false">IF($C55="","",IFERROR(IF($AP55&lt;Tables!$B$7,"High",IF($F55="Outdoor","Medium",IF($AP55&lt;$Q55,"Medium","Low"))),"—"))</f>
        <v/>
      </c>
      <c r="AR55" s="75" t="str">
        <f aca="false">IF($C55="","",IFERROR(-$S55/$AO55*LN($V55*$AM55/Tables!$B$6)/60,"—"))</f>
        <v/>
      </c>
      <c r="AS55" s="76" t="str">
        <f aca="false">IF($C55="","",IFERROR(INDEX(Tables!$B$22:$J$24,MATCH($E55,Tables!$A$22:$A$24,0),MATCH($AQ55&amp;"-"&amp;$T55,Tables!$B$21:$J$21,0)),"—"))</f>
        <v/>
      </c>
      <c r="AT55" s="77" t="str">
        <f aca="false">IF($C55="","",IFERROR((3*$AP55/(2*PI()))^(1/3),"—"))</f>
        <v/>
      </c>
      <c r="AU55" s="78" t="str">
        <f aca="false">IF($C55="","",IFERROR(IF(ISNUMBER(SEARCH("Zone 0",IFERROR(LEFT($AS55,FIND("(",$AS55)-1),$AS55))),"Ga",IF(ISNUMBER(SEARCH("Zone 1",IFERROR(LEFT($AS55,FIND("(",$AS55)-1),$AS55))),"Gb",IF(ISNUMBER(SEARCH("Zone 2",IFERROR(LEFT($AS55,FIND("(",$AS55)-1),$AS55))),"Gc","None required"))),"—"))</f>
        <v/>
      </c>
      <c r="AV55" s="74" t="str">
        <f aca="false">IF($C55="","",IFERROR(IF($AU55="None required","—",$AB55&amp;" "&amp;INDEX(Tables!$B$31:$B$37,MATCH($AA55-0.001,Tables!$A$31:$A$37,1))),"—"))</f>
        <v/>
      </c>
      <c r="AW55" s="79" t="str">
        <f aca="false">IF($C55="","",TRIM(IF(IF(ISNUMBER($Z55),$H55&lt;$Z55-5,FALSE()),"Handled &gt;5°C below flash point — may not need zoning (unless mist/spray). ","")&amp;IF(IF(AND($D55="Pool evaporation",ISNUMBER($Y55)),$H55&gt;=$Y55,FALSE()),"Liquid at/above boiling point — pool equation not valid, treat as gas release. ","")&amp;IF(IF(AND($D55="Liquid jet",$M55="",ISNUMBER($Y55)),$H55&lt;$Y55,FALSE()),"Non-flashing liquid: vapour rate set to 0 — model the resulting pool on its own row. ","")&amp;IF(AND($D55="Gas/vapour jet",NOT(ISNUMBER($W55))),"No γ in library for this substance. ","")&amp;IF(IF(ISNUMBER($AC55),$AC55&gt;1.2,FALSE()),"Heavier than air — extend zone at low level / into pits and drains. ","")&amp;IF($AQ55="Low","Vz ≥ V0: ventilation cannot control the release — whole room affected. ","")&amp;IF(AND($F55="Indoor",OR($Q55="",$R55="")),"Indoor: enter room volume and air changes. ","")))</f>
        <v/>
      </c>
    </row>
    <row r="56" customFormat="false" ht="15" hidden="false" customHeight="false" outlineLevel="0" collapsed="false">
      <c r="A56" s="56"/>
      <c r="B56" s="57"/>
      <c r="C56" s="56"/>
      <c r="D56" s="56"/>
      <c r="E56" s="56"/>
      <c r="F56" s="56"/>
      <c r="G56" s="58"/>
      <c r="H56" s="59"/>
      <c r="I56" s="59"/>
      <c r="J56" s="60"/>
      <c r="K56" s="58"/>
      <c r="L56" s="58"/>
      <c r="M56" s="58"/>
      <c r="N56" s="58"/>
      <c r="O56" s="58"/>
      <c r="P56" s="58"/>
      <c r="Q56" s="61"/>
      <c r="R56" s="59"/>
      <c r="S56" s="59"/>
      <c r="T56" s="56"/>
      <c r="U56" s="62" t="str">
        <f aca="false">IF($C56="","",IFERROR(IF(INDEX(Substances!$C$2:$C$60,MATCH($C56,Substances!$A$2:$A$60,0))="","",INDEX(Substances!$C$2:$C$60,MATCH($C56,Substances!$A$2:$A$60,0))),"—"))</f>
        <v/>
      </c>
      <c r="V56" s="63" t="str">
        <f aca="false">IF($C56="","",IFERROR(IF(INDEX(Substances!$D$2:$D$60,MATCH($C56,Substances!$A$2:$A$60,0))="","",INDEX(Substances!$D$2:$D$60,MATCH($C56,Substances!$A$2:$A$60,0))),"—"))</f>
        <v/>
      </c>
      <c r="W56" s="62" t="str">
        <f aca="false">IF($C56="","",IFERROR(IF(INDEX(Substances!$F$2:$F$60,MATCH($C56,Substances!$A$2:$A$60,0))="","",INDEX(Substances!$F$2:$F$60,MATCH($C56,Substances!$A$2:$A$60,0))),"—"))</f>
        <v/>
      </c>
      <c r="X56" s="64" t="str">
        <f aca="false">IF($C56="","",IFERROR(IF(INDEX(Substances!$G$2:$G$60,MATCH($C56,Substances!$A$2:$A$60,0))="","",INDEX(Substances!$G$2:$G$60,MATCH($C56,Substances!$A$2:$A$60,0))),"—"))</f>
        <v/>
      </c>
      <c r="Y56" s="63" t="str">
        <f aca="false">IF($C56="","",IFERROR(IF(INDEX(Substances!$H$2:$H$60,MATCH($C56,Substances!$A$2:$A$60,0))="","",INDEX(Substances!$H$2:$H$60,MATCH($C56,Substances!$A$2:$A$60,0))),"—"))</f>
        <v/>
      </c>
      <c r="Z56" s="64" t="str">
        <f aca="false">IF($C56="","",IFERROR(IF(INDEX(Substances!$I$2:$I$60,MATCH($C56,Substances!$A$2:$A$60,0))="","",INDEX(Substances!$I$2:$I$60,MATCH($C56,Substances!$A$2:$A$60,0))),"—"))</f>
        <v/>
      </c>
      <c r="AA56" s="64" t="str">
        <f aca="false">IF($C56="","",IFERROR(IF(INDEX(Substances!$J$2:$J$60,MATCH($C56,Substances!$A$2:$A$60,0))="","",INDEX(Substances!$J$2:$J$60,MATCH($C56,Substances!$A$2:$A$60,0))),"—"))</f>
        <v/>
      </c>
      <c r="AB56" s="65" t="str">
        <f aca="false">IF($C56="","",IFERROR(IF(INDEX(Substances!$K$2:$K$60,MATCH($C56,Substances!$A$2:$A$60,0))="","",INDEX(Substances!$K$2:$K$60,MATCH($C56,Substances!$A$2:$A$60,0))),"—"))</f>
        <v/>
      </c>
      <c r="AC56" s="62" t="str">
        <f aca="false">IF($C56="","",IFERROR($U56/28.96,"—"))</f>
        <v/>
      </c>
      <c r="AD56" s="66" t="str">
        <f aca="false">IF($C56="","",IFERROR(N($G56)*100000+Tables!$B$4,"—"))</f>
        <v/>
      </c>
      <c r="AE56" s="67" t="str">
        <f aca="false">IF($C56="","",IFERROR($H56+273.15,"—"))</f>
        <v/>
      </c>
      <c r="AF56" s="67" t="str">
        <f aca="false">IF($C56="","",IFERROR($I56+273.15,"—"))</f>
        <v/>
      </c>
      <c r="AG56" s="66" t="str">
        <f aca="false">IF($C56="","",IFERROR(IF($D56="Gas/vapour jet",Tables!$B$4*(($W56+1)/2)^($W56/($W56-1)),"n/a"),"—"))</f>
        <v/>
      </c>
      <c r="AH56" s="68" t="str">
        <f aca="false">IF($C56="","",IFERROR(IF($D56="Gas/vapour jet",IF($AD56&gt;$AG56,"Choked","Subsonic"),"n/a"),"—"))</f>
        <v/>
      </c>
      <c r="AI56" s="69" t="str">
        <f aca="false">IF($C56="","",IFERROR(IF($D56="Gas/vapour jet","n/a",MIN(101.325,IF($P56&lt;&gt;"",$P56,IF(N(INDEX(Substances!$L$2:$L$60,MATCH($C56,Substances!$A$2:$A$60,0)))&lt;&gt;0,0.133322*10^(INDEX(Substances!$L$2:$L$60,MATCH($C56,Substances!$A$2:$A$60,0))-INDEX(Substances!$M$2:$M$60,MATCH($C56,Substances!$A$2:$A$60,0))/(INDEX(Substances!$N$2:$N$60,MATCH($C56,Substances!$A$2:$A$60,0))+$H56)),101.325*EXP(10.58*(1-($Y56+273.15)/$AE56)))))),"—"))</f>
        <v/>
      </c>
      <c r="AJ56" s="70" t="str">
        <f aca="false">IF($C56="","",IFERROR(IF($D56="Liquid jet",$K56*$J56*0.000001*SQRT(2*$X56*N($G56)*100000),"n/a"),"—"))</f>
        <v/>
      </c>
      <c r="AK56" s="71" t="str">
        <f aca="false">IF($C56="","",IFERROR(IF($D56="Gas/vapour jet",IF($AH56="Choked",$K56*$J56*0.000001*$AD56*SQRT($W56*$U56/($L56*Tables!$B$5*$AE56)*(2/($W56+1))^(($W56+1)/($W56-1))),$K56*$J56*0.000001*$AD56*SQRT($U56/($L56*Tables!$B$5*$AE56)*(2*$W56/($W56-1))*(1-(Tables!$B$4/$AD56)^(($W56-1)/$W56))*(Tables!$B$4/$AD56)^(2/$W56))),IF($D56="Liquid jet",$AJ56*IF($M56&lt;&gt;"",$M56,IF($H56&gt;=$Y56,1,0)),6.55*$O56^0.78*$N56*$AI56*$U56^0.667/(Tables!$B$5*$AE56))),"—"))</f>
        <v/>
      </c>
      <c r="AL56" s="72" t="str">
        <f aca="false">IF($C56="","",IFERROR(Tables!$B$10*$U56*$V56,"—"))</f>
        <v/>
      </c>
      <c r="AM56" s="69" t="str">
        <f aca="false">IF($C56="","",IFERROR(INDEX(Tables!$B$15:$B$17,MATCH($E56,Tables!$A$15:$A$17,0)),"—"))</f>
        <v/>
      </c>
      <c r="AN56" s="70" t="str">
        <f aca="false">IF($C56="","",IFERROR($AK56/($AM56*$AL56)*$AF56/Tables!$B$9,"—"))</f>
        <v/>
      </c>
      <c r="AO56" s="72" t="str">
        <f aca="false">IF($C56="","",IFERROR(IF($F56="Outdoor",Tables!$B$8,$R56/3600),"—"))</f>
        <v/>
      </c>
      <c r="AP56" s="73" t="str">
        <f aca="false">IF($C56="","",IFERROR($S56*$AN56/$AO56,"—"))</f>
        <v/>
      </c>
      <c r="AQ56" s="74" t="str">
        <f aca="false">IF($C56="","",IFERROR(IF($AP56&lt;Tables!$B$7,"High",IF($F56="Outdoor","Medium",IF($AP56&lt;$Q56,"Medium","Low"))),"—"))</f>
        <v/>
      </c>
      <c r="AR56" s="75" t="str">
        <f aca="false">IF($C56="","",IFERROR(-$S56/$AO56*LN($V56*$AM56/Tables!$B$6)/60,"—"))</f>
        <v/>
      </c>
      <c r="AS56" s="76" t="str">
        <f aca="false">IF($C56="","",IFERROR(INDEX(Tables!$B$22:$J$24,MATCH($E56,Tables!$A$22:$A$24,0),MATCH($AQ56&amp;"-"&amp;$T56,Tables!$B$21:$J$21,0)),"—"))</f>
        <v/>
      </c>
      <c r="AT56" s="77" t="str">
        <f aca="false">IF($C56="","",IFERROR((3*$AP56/(2*PI()))^(1/3),"—"))</f>
        <v/>
      </c>
      <c r="AU56" s="78" t="str">
        <f aca="false">IF($C56="","",IFERROR(IF(ISNUMBER(SEARCH("Zone 0",IFERROR(LEFT($AS56,FIND("(",$AS56)-1),$AS56))),"Ga",IF(ISNUMBER(SEARCH("Zone 1",IFERROR(LEFT($AS56,FIND("(",$AS56)-1),$AS56))),"Gb",IF(ISNUMBER(SEARCH("Zone 2",IFERROR(LEFT($AS56,FIND("(",$AS56)-1),$AS56))),"Gc","None required"))),"—"))</f>
        <v/>
      </c>
      <c r="AV56" s="74" t="str">
        <f aca="false">IF($C56="","",IFERROR(IF($AU56="None required","—",$AB56&amp;" "&amp;INDEX(Tables!$B$31:$B$37,MATCH($AA56-0.001,Tables!$A$31:$A$37,1))),"—"))</f>
        <v/>
      </c>
      <c r="AW56" s="79" t="str">
        <f aca="false">IF($C56="","",TRIM(IF(IF(ISNUMBER($Z56),$H56&lt;$Z56-5,FALSE()),"Handled &gt;5°C below flash point — may not need zoning (unless mist/spray). ","")&amp;IF(IF(AND($D56="Pool evaporation",ISNUMBER($Y56)),$H56&gt;=$Y56,FALSE()),"Liquid at/above boiling point — pool equation not valid, treat as gas release. ","")&amp;IF(IF(AND($D56="Liquid jet",$M56="",ISNUMBER($Y56)),$H56&lt;$Y56,FALSE()),"Non-flashing liquid: vapour rate set to 0 — model the resulting pool on its own row. ","")&amp;IF(AND($D56="Gas/vapour jet",NOT(ISNUMBER($W56))),"No γ in library for this substance. ","")&amp;IF(IF(ISNUMBER($AC56),$AC56&gt;1.2,FALSE()),"Heavier than air — extend zone at low level / into pits and drains. ","")&amp;IF($AQ56="Low","Vz ≥ V0: ventilation cannot control the release — whole room affected. ","")&amp;IF(AND($F56="Indoor",OR($Q56="",$R56="")),"Indoor: enter room volume and air changes. ","")))</f>
        <v/>
      </c>
    </row>
    <row r="57" customFormat="false" ht="15" hidden="false" customHeight="false" outlineLevel="0" collapsed="false">
      <c r="A57" s="56"/>
      <c r="B57" s="57"/>
      <c r="C57" s="56"/>
      <c r="D57" s="56"/>
      <c r="E57" s="56"/>
      <c r="F57" s="56"/>
      <c r="G57" s="58"/>
      <c r="H57" s="59"/>
      <c r="I57" s="59"/>
      <c r="J57" s="60"/>
      <c r="K57" s="58"/>
      <c r="L57" s="58"/>
      <c r="M57" s="58"/>
      <c r="N57" s="58"/>
      <c r="O57" s="58"/>
      <c r="P57" s="58"/>
      <c r="Q57" s="61"/>
      <c r="R57" s="59"/>
      <c r="S57" s="59"/>
      <c r="T57" s="56"/>
      <c r="U57" s="62" t="str">
        <f aca="false">IF($C57="","",IFERROR(IF(INDEX(Substances!$C$2:$C$60,MATCH($C57,Substances!$A$2:$A$60,0))="","",INDEX(Substances!$C$2:$C$60,MATCH($C57,Substances!$A$2:$A$60,0))),"—"))</f>
        <v/>
      </c>
      <c r="V57" s="63" t="str">
        <f aca="false">IF($C57="","",IFERROR(IF(INDEX(Substances!$D$2:$D$60,MATCH($C57,Substances!$A$2:$A$60,0))="","",INDEX(Substances!$D$2:$D$60,MATCH($C57,Substances!$A$2:$A$60,0))),"—"))</f>
        <v/>
      </c>
      <c r="W57" s="62" t="str">
        <f aca="false">IF($C57="","",IFERROR(IF(INDEX(Substances!$F$2:$F$60,MATCH($C57,Substances!$A$2:$A$60,0))="","",INDEX(Substances!$F$2:$F$60,MATCH($C57,Substances!$A$2:$A$60,0))),"—"))</f>
        <v/>
      </c>
      <c r="X57" s="64" t="str">
        <f aca="false">IF($C57="","",IFERROR(IF(INDEX(Substances!$G$2:$G$60,MATCH($C57,Substances!$A$2:$A$60,0))="","",INDEX(Substances!$G$2:$G$60,MATCH($C57,Substances!$A$2:$A$60,0))),"—"))</f>
        <v/>
      </c>
      <c r="Y57" s="63" t="str">
        <f aca="false">IF($C57="","",IFERROR(IF(INDEX(Substances!$H$2:$H$60,MATCH($C57,Substances!$A$2:$A$60,0))="","",INDEX(Substances!$H$2:$H$60,MATCH($C57,Substances!$A$2:$A$60,0))),"—"))</f>
        <v/>
      </c>
      <c r="Z57" s="64" t="str">
        <f aca="false">IF($C57="","",IFERROR(IF(INDEX(Substances!$I$2:$I$60,MATCH($C57,Substances!$A$2:$A$60,0))="","",INDEX(Substances!$I$2:$I$60,MATCH($C57,Substances!$A$2:$A$60,0))),"—"))</f>
        <v/>
      </c>
      <c r="AA57" s="64" t="str">
        <f aca="false">IF($C57="","",IFERROR(IF(INDEX(Substances!$J$2:$J$60,MATCH($C57,Substances!$A$2:$A$60,0))="","",INDEX(Substances!$J$2:$J$60,MATCH($C57,Substances!$A$2:$A$60,0))),"—"))</f>
        <v/>
      </c>
      <c r="AB57" s="65" t="str">
        <f aca="false">IF($C57="","",IFERROR(IF(INDEX(Substances!$K$2:$K$60,MATCH($C57,Substances!$A$2:$A$60,0))="","",INDEX(Substances!$K$2:$K$60,MATCH($C57,Substances!$A$2:$A$60,0))),"—"))</f>
        <v/>
      </c>
      <c r="AC57" s="62" t="str">
        <f aca="false">IF($C57="","",IFERROR($U57/28.96,"—"))</f>
        <v/>
      </c>
      <c r="AD57" s="66" t="str">
        <f aca="false">IF($C57="","",IFERROR(N($G57)*100000+Tables!$B$4,"—"))</f>
        <v/>
      </c>
      <c r="AE57" s="67" t="str">
        <f aca="false">IF($C57="","",IFERROR($H57+273.15,"—"))</f>
        <v/>
      </c>
      <c r="AF57" s="67" t="str">
        <f aca="false">IF($C57="","",IFERROR($I57+273.15,"—"))</f>
        <v/>
      </c>
      <c r="AG57" s="66" t="str">
        <f aca="false">IF($C57="","",IFERROR(IF($D57="Gas/vapour jet",Tables!$B$4*(($W57+1)/2)^($W57/($W57-1)),"n/a"),"—"))</f>
        <v/>
      </c>
      <c r="AH57" s="68" t="str">
        <f aca="false">IF($C57="","",IFERROR(IF($D57="Gas/vapour jet",IF($AD57&gt;$AG57,"Choked","Subsonic"),"n/a"),"—"))</f>
        <v/>
      </c>
      <c r="AI57" s="69" t="str">
        <f aca="false">IF($C57="","",IFERROR(IF($D57="Gas/vapour jet","n/a",MIN(101.325,IF($P57&lt;&gt;"",$P57,IF(N(INDEX(Substances!$L$2:$L$60,MATCH($C57,Substances!$A$2:$A$60,0)))&lt;&gt;0,0.133322*10^(INDEX(Substances!$L$2:$L$60,MATCH($C57,Substances!$A$2:$A$60,0))-INDEX(Substances!$M$2:$M$60,MATCH($C57,Substances!$A$2:$A$60,0))/(INDEX(Substances!$N$2:$N$60,MATCH($C57,Substances!$A$2:$A$60,0))+$H57)),101.325*EXP(10.58*(1-($Y57+273.15)/$AE57)))))),"—"))</f>
        <v/>
      </c>
      <c r="AJ57" s="70" t="str">
        <f aca="false">IF($C57="","",IFERROR(IF($D57="Liquid jet",$K57*$J57*0.000001*SQRT(2*$X57*N($G57)*100000),"n/a"),"—"))</f>
        <v/>
      </c>
      <c r="AK57" s="71" t="str">
        <f aca="false">IF($C57="","",IFERROR(IF($D57="Gas/vapour jet",IF($AH57="Choked",$K57*$J57*0.000001*$AD57*SQRT($W57*$U57/($L57*Tables!$B$5*$AE57)*(2/($W57+1))^(($W57+1)/($W57-1))),$K57*$J57*0.000001*$AD57*SQRT($U57/($L57*Tables!$B$5*$AE57)*(2*$W57/($W57-1))*(1-(Tables!$B$4/$AD57)^(($W57-1)/$W57))*(Tables!$B$4/$AD57)^(2/$W57))),IF($D57="Liquid jet",$AJ57*IF($M57&lt;&gt;"",$M57,IF($H57&gt;=$Y57,1,0)),6.55*$O57^0.78*$N57*$AI57*$U57^0.667/(Tables!$B$5*$AE57))),"—"))</f>
        <v/>
      </c>
      <c r="AL57" s="72" t="str">
        <f aca="false">IF($C57="","",IFERROR(Tables!$B$10*$U57*$V57,"—"))</f>
        <v/>
      </c>
      <c r="AM57" s="69" t="str">
        <f aca="false">IF($C57="","",IFERROR(INDEX(Tables!$B$15:$B$17,MATCH($E57,Tables!$A$15:$A$17,0)),"—"))</f>
        <v/>
      </c>
      <c r="AN57" s="70" t="str">
        <f aca="false">IF($C57="","",IFERROR($AK57/($AM57*$AL57)*$AF57/Tables!$B$9,"—"))</f>
        <v/>
      </c>
      <c r="AO57" s="72" t="str">
        <f aca="false">IF($C57="","",IFERROR(IF($F57="Outdoor",Tables!$B$8,$R57/3600),"—"))</f>
        <v/>
      </c>
      <c r="AP57" s="73" t="str">
        <f aca="false">IF($C57="","",IFERROR($S57*$AN57/$AO57,"—"))</f>
        <v/>
      </c>
      <c r="AQ57" s="74" t="str">
        <f aca="false">IF($C57="","",IFERROR(IF($AP57&lt;Tables!$B$7,"High",IF($F57="Outdoor","Medium",IF($AP57&lt;$Q57,"Medium","Low"))),"—"))</f>
        <v/>
      </c>
      <c r="AR57" s="75" t="str">
        <f aca="false">IF($C57="","",IFERROR(-$S57/$AO57*LN($V57*$AM57/Tables!$B$6)/60,"—"))</f>
        <v/>
      </c>
      <c r="AS57" s="76" t="str">
        <f aca="false">IF($C57="","",IFERROR(INDEX(Tables!$B$22:$J$24,MATCH($E57,Tables!$A$22:$A$24,0),MATCH($AQ57&amp;"-"&amp;$T57,Tables!$B$21:$J$21,0)),"—"))</f>
        <v/>
      </c>
      <c r="AT57" s="77" t="str">
        <f aca="false">IF($C57="","",IFERROR((3*$AP57/(2*PI()))^(1/3),"—"))</f>
        <v/>
      </c>
      <c r="AU57" s="78" t="str">
        <f aca="false">IF($C57="","",IFERROR(IF(ISNUMBER(SEARCH("Zone 0",IFERROR(LEFT($AS57,FIND("(",$AS57)-1),$AS57))),"Ga",IF(ISNUMBER(SEARCH("Zone 1",IFERROR(LEFT($AS57,FIND("(",$AS57)-1),$AS57))),"Gb",IF(ISNUMBER(SEARCH("Zone 2",IFERROR(LEFT($AS57,FIND("(",$AS57)-1),$AS57))),"Gc","None required"))),"—"))</f>
        <v/>
      </c>
      <c r="AV57" s="74" t="str">
        <f aca="false">IF($C57="","",IFERROR(IF($AU57="None required","—",$AB57&amp;" "&amp;INDEX(Tables!$B$31:$B$37,MATCH($AA57-0.001,Tables!$A$31:$A$37,1))),"—"))</f>
        <v/>
      </c>
      <c r="AW57" s="79" t="str">
        <f aca="false">IF($C57="","",TRIM(IF(IF(ISNUMBER($Z57),$H57&lt;$Z57-5,FALSE()),"Handled &gt;5°C below flash point — may not need zoning (unless mist/spray). ","")&amp;IF(IF(AND($D57="Pool evaporation",ISNUMBER($Y57)),$H57&gt;=$Y57,FALSE()),"Liquid at/above boiling point — pool equation not valid, treat as gas release. ","")&amp;IF(IF(AND($D57="Liquid jet",$M57="",ISNUMBER($Y57)),$H57&lt;$Y57,FALSE()),"Non-flashing liquid: vapour rate set to 0 — model the resulting pool on its own row. ","")&amp;IF(AND($D57="Gas/vapour jet",NOT(ISNUMBER($W57))),"No γ in library for this substance. ","")&amp;IF(IF(ISNUMBER($AC57),$AC57&gt;1.2,FALSE()),"Heavier than air — extend zone at low level / into pits and drains. ","")&amp;IF($AQ57="Low","Vz ≥ V0: ventilation cannot control the release — whole room affected. ","")&amp;IF(AND($F57="Indoor",OR($Q57="",$R57="")),"Indoor: enter room volume and air changes. ","")))</f>
        <v/>
      </c>
    </row>
  </sheetData>
  <mergeCells count="4">
    <mergeCell ref="A6:T6"/>
    <mergeCell ref="U6:AC6"/>
    <mergeCell ref="AD6:AK6"/>
    <mergeCell ref="AL6:AW6"/>
  </mergeCells>
  <conditionalFormatting sqref="AS8:AS57">
    <cfRule type="expression" priority="2" aboveAverage="0" equalAverage="0" bottom="0" percent="0" rank="0" text="" dxfId="1">
      <formula>ISNUMBER(SEARCH("Zone 0",IFERROR(LEFT($AS8,FIND("(",$AS8)-1),$AS8)))</formula>
    </cfRule>
    <cfRule type="expression" priority="3" aboveAverage="0" equalAverage="0" bottom="0" percent="0" rank="0" text="" dxfId="2">
      <formula>ISNUMBER(SEARCH("Zone 1",IFERROR(LEFT($AS8,FIND("(",$AS8)-1),$AS8)))</formula>
    </cfRule>
    <cfRule type="expression" priority="4" aboveAverage="0" equalAverage="0" bottom="0" percent="0" rank="0" text="" dxfId="3">
      <formula>ISNUMBER(SEARCH("Zone 2",IFERROR(LEFT($AS8,FIND("(",$AS8)-1),$AS8)))</formula>
    </cfRule>
    <cfRule type="expression" priority="5" aboveAverage="0" equalAverage="0" bottom="0" percent="0" rank="0" text="" dxfId="0">
      <formula>LEFT($AS8,3)="Non"</formula>
    </cfRule>
  </conditionalFormatting>
  <dataValidations count="5">
    <dataValidation allowBlank="true" errorStyle="stop" operator="between" showDropDown="false" showErrorMessage="false" showInputMessage="false" sqref="C8:C57" type="list">
      <formula1>Substances!$A$2:$A$60</formula1>
      <formula2>0</formula2>
    </dataValidation>
    <dataValidation allowBlank="true" errorStyle="stop" operator="between" showDropDown="false" showErrorMessage="false" showInputMessage="false" sqref="D8:D57" type="list">
      <formula1>"Gas/vapour jet,Liquid jet,Pool evaporation"</formula1>
      <formula2>0</formula2>
    </dataValidation>
    <dataValidation allowBlank="true" errorStyle="stop" operator="between" showDropDown="false" showErrorMessage="false" showInputMessage="false" sqref="E8:E57" type="list">
      <formula1>"Continuous,Primary,Secondary"</formula1>
      <formula2>0</formula2>
    </dataValidation>
    <dataValidation allowBlank="true" errorStyle="stop" operator="between" showDropDown="false" showErrorMessage="false" showInputMessage="false" sqref="F8:F57" type="list">
      <formula1>"Indoor,Outdoor"</formula1>
      <formula2>0</formula2>
    </dataValidation>
    <dataValidation allowBlank="true" errorStyle="stop" operator="between" showDropDown="false" showErrorMessage="false" showInputMessage="false" sqref="T8:T57" type="list">
      <formula1>"Good,Fair,Poor"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2"/>
    <col collapsed="false" customWidth="true" hidden="false" outlineLevel="0" max="3" min="3" style="0" width="22"/>
    <col collapsed="false" customWidth="true" hidden="false" outlineLevel="0" max="5" min="4" style="0" width="13"/>
    <col collapsed="false" customWidth="true" hidden="false" outlineLevel="0" max="7" min="6" style="0" width="11"/>
    <col collapsed="false" customWidth="true" hidden="false" outlineLevel="0" max="8" min="8" style="0" width="8"/>
    <col collapsed="false" customWidth="true" hidden="false" outlineLevel="0" max="10" min="9" style="0" width="9"/>
    <col collapsed="false" customWidth="true" hidden="false" outlineLevel="0" max="11" min="11" style="0" width="8"/>
    <col collapsed="false" customWidth="true" hidden="false" outlineLevel="0" max="13" min="12" style="0" width="11"/>
    <col collapsed="false" customWidth="true" hidden="false" outlineLevel="0" max="14" min="14" style="0" width="14"/>
    <col collapsed="false" customWidth="true" hidden="false" outlineLevel="0" max="15" min="15" style="0" width="9"/>
    <col collapsed="false" customWidth="true" hidden="false" outlineLevel="0" max="16" min="16" style="0" width="10"/>
    <col collapsed="false" customWidth="true" hidden="false" outlineLevel="0" max="18" min="17" style="0" width="12"/>
    <col collapsed="false" customWidth="true" hidden="false" outlineLevel="0" max="19" min="19" style="0" width="50"/>
  </cols>
  <sheetData>
    <row r="1" customFormat="false" ht="17.35" hidden="false" customHeight="false" outlineLevel="0" collapsed="false">
      <c r="A1" s="50" t="s">
        <v>187</v>
      </c>
    </row>
    <row r="2" customFormat="false" ht="15" hidden="false" customHeight="false" outlineLevel="0" collapsed="false">
      <c r="A2" s="2" t="s">
        <v>188</v>
      </c>
    </row>
    <row r="5" customFormat="false" ht="45.75" hidden="false" customHeight="true" outlineLevel="0" collapsed="false">
      <c r="A5" s="23" t="s">
        <v>141</v>
      </c>
      <c r="B5" s="23" t="s">
        <v>142</v>
      </c>
      <c r="C5" s="23" t="s">
        <v>189</v>
      </c>
      <c r="D5" s="23" t="s">
        <v>190</v>
      </c>
      <c r="E5" s="23" t="s">
        <v>191</v>
      </c>
      <c r="F5" s="23" t="s">
        <v>192</v>
      </c>
      <c r="G5" s="23" t="s">
        <v>193</v>
      </c>
      <c r="H5" s="23" t="s">
        <v>194</v>
      </c>
      <c r="I5" s="23" t="s">
        <v>195</v>
      </c>
      <c r="J5" s="23" t="s">
        <v>196</v>
      </c>
      <c r="K5" s="23" t="s">
        <v>197</v>
      </c>
      <c r="L5" s="23" t="s">
        <v>198</v>
      </c>
      <c r="M5" s="23" t="s">
        <v>199</v>
      </c>
      <c r="N5" s="23" t="s">
        <v>166</v>
      </c>
      <c r="O5" s="23" t="s">
        <v>168</v>
      </c>
      <c r="P5" s="23" t="s">
        <v>200</v>
      </c>
      <c r="Q5" s="23" t="s">
        <v>201</v>
      </c>
      <c r="R5" s="23" t="s">
        <v>202</v>
      </c>
      <c r="S5" s="23" t="s">
        <v>170</v>
      </c>
    </row>
    <row r="6" customFormat="false" ht="15" hidden="false" customHeight="false" outlineLevel="0" collapsed="false">
      <c r="A6" s="56" t="s">
        <v>203</v>
      </c>
      <c r="B6" s="57" t="s">
        <v>204</v>
      </c>
      <c r="C6" s="56" t="s">
        <v>205</v>
      </c>
      <c r="D6" s="56" t="s">
        <v>59</v>
      </c>
      <c r="E6" s="56" t="s">
        <v>179</v>
      </c>
      <c r="F6" s="61" t="n">
        <v>2</v>
      </c>
      <c r="G6" s="59" t="n">
        <v>1</v>
      </c>
      <c r="H6" s="65" t="str">
        <f aca="false">IF($C6="","",IFERROR(INDEX(Dusts!$B$2:$B$40,MATCH($C6,Dusts!$A$2:$A$40,0)),"—"))</f>
        <v>IIIB</v>
      </c>
      <c r="I6" s="64" t="n">
        <f aca="false">IF($C6="","",IFERROR(INDEX(Dusts!$C$2:$C$40,MATCH($C6,Dusts!$A$2:$A$40,0)),"—"))</f>
        <v>430</v>
      </c>
      <c r="J6" s="64" t="n">
        <f aca="false">IF($C6="","",IFERROR(INDEX(Dusts!$D$2:$D$40,MATCH($C6,Dusts!$A$2:$A$40,0)),"—"))</f>
        <v>300</v>
      </c>
      <c r="K6" s="64" t="n">
        <f aca="false">IF($C6="","",IFERROR(INDEX(Dusts!$E$2:$E$40,MATCH($C6,Dusts!$A$2:$A$40,0)),"—"))</f>
        <v>30</v>
      </c>
      <c r="L6" s="68" t="n">
        <f aca="false">IF($C6="","",IFERROR(IF($D6="Continuous",20,IF($D6="Primary",21,IF($D6="Secondary",22,99))),"—"))</f>
        <v>21</v>
      </c>
      <c r="M6" s="68" t="n">
        <f aca="false">IF($C6="","",IFERROR(IF($E6="Poor",21,IF($E6="Fair",22,99)),"—"))</f>
        <v>22</v>
      </c>
      <c r="N6" s="78" t="str">
        <f aca="false">IF($C6="","",IFERROR(IF(MIN($L6,$M6)=99,"Non-hazardous","Zone "&amp;MIN($L6,$M6)),"—"))</f>
        <v>Zone 21</v>
      </c>
      <c r="O6" s="78" t="str">
        <f aca="false">IF($C6="","",IFERROR(IF($N6="Zone 20","Da",IF($N6="Zone 21","Db",IF($N6="Zone 22","Dc","None required"))),"—"))</f>
        <v>Db</v>
      </c>
      <c r="P6" s="80" t="n">
        <f aca="false">IF($C6="","",IFERROR(2/3*$I6,"—"))</f>
        <v>286.666666666667</v>
      </c>
      <c r="Q6" s="81" t="n">
        <f aca="false">IF($C6="","",IFERROR(IF(N($F6)&lt;=5,$J6-75,IF($F6&lt;=50,"Reduce — see IEC 60079-14 graph","Lab test required")),"—"))</f>
        <v>225</v>
      </c>
      <c r="R6" s="82" t="n">
        <f aca="false">IF($C6="","",IFERROR(IF(ISNUMBER($Q6),MIN($P6,$Q6),$P6),"—"))</f>
        <v>225</v>
      </c>
      <c r="S6" s="79" t="str">
        <f aca="false">IF($C6="","",TRIM(IF(N($F6)&gt;5,"Layer &gt;5 mm: cloud limit shown only — layer limit must be reduced. ","")&amp;IF($H6="IIIC","Conductive dust (IIIC): check equipment group IIIC. ","")&amp;IF(IF(ISNUMBER($K6),$K6&lt;10,FALSE()),"Low MIE (&lt;10 mJ): sensitive to electrostatic ignition. ","")&amp;IF($E6="Poor","Poor housekeeping drives Zone 21 — improving cleaning lowers the zone. ","")))</f>
        <v/>
      </c>
    </row>
    <row r="7" customFormat="false" ht="15" hidden="false" customHeight="false" outlineLevel="0" collapsed="false">
      <c r="A7" s="56"/>
      <c r="B7" s="57"/>
      <c r="C7" s="56"/>
      <c r="D7" s="56"/>
      <c r="E7" s="56"/>
      <c r="F7" s="61"/>
      <c r="G7" s="59"/>
      <c r="H7" s="65" t="str">
        <f aca="false">IF($C7="","",IFERROR(INDEX(Dusts!$B$2:$B$40,MATCH($C7,Dusts!$A$2:$A$40,0)),"—"))</f>
        <v/>
      </c>
      <c r="I7" s="64" t="str">
        <f aca="false">IF($C7="","",IFERROR(INDEX(Dusts!$C$2:$C$40,MATCH($C7,Dusts!$A$2:$A$40,0)),"—"))</f>
        <v/>
      </c>
      <c r="J7" s="64" t="str">
        <f aca="false">IF($C7="","",IFERROR(INDEX(Dusts!$D$2:$D$40,MATCH($C7,Dusts!$A$2:$A$40,0)),"—"))</f>
        <v/>
      </c>
      <c r="K7" s="64" t="str">
        <f aca="false">IF($C7="","",IFERROR(INDEX(Dusts!$E$2:$E$40,MATCH($C7,Dusts!$A$2:$A$40,0)),"—"))</f>
        <v/>
      </c>
      <c r="L7" s="68" t="str">
        <f aca="false">IF($C7="","",IFERROR(IF($D7="Continuous",20,IF($D7="Primary",21,IF($D7="Secondary",22,99))),"—"))</f>
        <v/>
      </c>
      <c r="M7" s="68" t="str">
        <f aca="false">IF($C7="","",IFERROR(IF($E7="Poor",21,IF($E7="Fair",22,99)),"—"))</f>
        <v/>
      </c>
      <c r="N7" s="78" t="str">
        <f aca="false">IF($C7="","",IFERROR(IF(MIN($L7,$M7)=99,"Non-hazardous","Zone "&amp;MIN($L7,$M7)),"—"))</f>
        <v/>
      </c>
      <c r="O7" s="78" t="str">
        <f aca="false">IF($C7="","",IFERROR(IF($N7="Zone 20","Da",IF($N7="Zone 21","Db",IF($N7="Zone 22","Dc","None required"))),"—"))</f>
        <v/>
      </c>
      <c r="P7" s="80" t="str">
        <f aca="false">IF($C7="","",IFERROR(2/3*$I7,"—"))</f>
        <v/>
      </c>
      <c r="Q7" s="81" t="str">
        <f aca="false">IF($C7="","",IFERROR(IF(N($F7)&lt;=5,$J7-75,IF($F7&lt;=50,"Reduce — see IEC 60079-14 graph","Lab test required")),"—"))</f>
        <v/>
      </c>
      <c r="R7" s="82" t="str">
        <f aca="false">IF($C7="","",IFERROR(IF(ISNUMBER($Q7),MIN($P7,$Q7),$P7),"—"))</f>
        <v/>
      </c>
      <c r="S7" s="79" t="str">
        <f aca="false">IF($C7="","",TRIM(IF(N($F7)&gt;5,"Layer &gt;5 mm: cloud limit shown only — layer limit must be reduced. ","")&amp;IF($H7="IIIC","Conductive dust (IIIC): check equipment group IIIC. ","")&amp;IF(IF(ISNUMBER($K7),$K7&lt;10,FALSE()),"Low MIE (&lt;10 mJ): sensitive to electrostatic ignition. ","")&amp;IF($E7="Poor","Poor housekeeping drives Zone 21 — improving cleaning lowers the zone. ","")))</f>
        <v/>
      </c>
    </row>
    <row r="8" customFormat="false" ht="15" hidden="false" customHeight="false" outlineLevel="0" collapsed="false">
      <c r="A8" s="56"/>
      <c r="B8" s="57"/>
      <c r="C8" s="56"/>
      <c r="D8" s="56"/>
      <c r="E8" s="56"/>
      <c r="F8" s="61"/>
      <c r="G8" s="59"/>
      <c r="H8" s="65" t="str">
        <f aca="false">IF($C8="","",IFERROR(INDEX(Dusts!$B$2:$B$40,MATCH($C8,Dusts!$A$2:$A$40,0)),"—"))</f>
        <v/>
      </c>
      <c r="I8" s="64" t="str">
        <f aca="false">IF($C8="","",IFERROR(INDEX(Dusts!$C$2:$C$40,MATCH($C8,Dusts!$A$2:$A$40,0)),"—"))</f>
        <v/>
      </c>
      <c r="J8" s="64" t="str">
        <f aca="false">IF($C8="","",IFERROR(INDEX(Dusts!$D$2:$D$40,MATCH($C8,Dusts!$A$2:$A$40,0)),"—"))</f>
        <v/>
      </c>
      <c r="K8" s="64" t="str">
        <f aca="false">IF($C8="","",IFERROR(INDEX(Dusts!$E$2:$E$40,MATCH($C8,Dusts!$A$2:$A$40,0)),"—"))</f>
        <v/>
      </c>
      <c r="L8" s="68" t="str">
        <f aca="false">IF($C8="","",IFERROR(IF($D8="Continuous",20,IF($D8="Primary",21,IF($D8="Secondary",22,99))),"—"))</f>
        <v/>
      </c>
      <c r="M8" s="68" t="str">
        <f aca="false">IF($C8="","",IFERROR(IF($E8="Poor",21,IF($E8="Fair",22,99)),"—"))</f>
        <v/>
      </c>
      <c r="N8" s="78" t="str">
        <f aca="false">IF($C8="","",IFERROR(IF(MIN($L8,$M8)=99,"Non-hazardous","Zone "&amp;MIN($L8,$M8)),"—"))</f>
        <v/>
      </c>
      <c r="O8" s="78" t="str">
        <f aca="false">IF($C8="","",IFERROR(IF($N8="Zone 20","Da",IF($N8="Zone 21","Db",IF($N8="Zone 22","Dc","None required"))),"—"))</f>
        <v/>
      </c>
      <c r="P8" s="80" t="str">
        <f aca="false">IF($C8="","",IFERROR(2/3*$I8,"—"))</f>
        <v/>
      </c>
      <c r="Q8" s="81" t="str">
        <f aca="false">IF($C8="","",IFERROR(IF(N($F8)&lt;=5,$J8-75,IF($F8&lt;=50,"Reduce — see IEC 60079-14 graph","Lab test required")),"—"))</f>
        <v/>
      </c>
      <c r="R8" s="82" t="str">
        <f aca="false">IF($C8="","",IFERROR(IF(ISNUMBER($Q8),MIN($P8,$Q8),$P8),"—"))</f>
        <v/>
      </c>
      <c r="S8" s="79" t="str">
        <f aca="false">IF($C8="","",TRIM(IF(N($F8)&gt;5,"Layer &gt;5 mm: cloud limit shown only — layer limit must be reduced. ","")&amp;IF($H8="IIIC","Conductive dust (IIIC): check equipment group IIIC. ","")&amp;IF(IF(ISNUMBER($K8),$K8&lt;10,FALSE()),"Low MIE (&lt;10 mJ): sensitive to electrostatic ignition. ","")&amp;IF($E8="Poor","Poor housekeeping drives Zone 21 — improving cleaning lowers the zone. ","")))</f>
        <v/>
      </c>
    </row>
    <row r="9" customFormat="false" ht="15" hidden="false" customHeight="false" outlineLevel="0" collapsed="false">
      <c r="A9" s="56"/>
      <c r="B9" s="57"/>
      <c r="C9" s="56"/>
      <c r="D9" s="56"/>
      <c r="E9" s="56"/>
      <c r="F9" s="61"/>
      <c r="G9" s="59"/>
      <c r="H9" s="65" t="str">
        <f aca="false">IF($C9="","",IFERROR(INDEX(Dusts!$B$2:$B$40,MATCH($C9,Dusts!$A$2:$A$40,0)),"—"))</f>
        <v/>
      </c>
      <c r="I9" s="64" t="str">
        <f aca="false">IF($C9="","",IFERROR(INDEX(Dusts!$C$2:$C$40,MATCH($C9,Dusts!$A$2:$A$40,0)),"—"))</f>
        <v/>
      </c>
      <c r="J9" s="64" t="str">
        <f aca="false">IF($C9="","",IFERROR(INDEX(Dusts!$D$2:$D$40,MATCH($C9,Dusts!$A$2:$A$40,0)),"—"))</f>
        <v/>
      </c>
      <c r="K9" s="64" t="str">
        <f aca="false">IF($C9="","",IFERROR(INDEX(Dusts!$E$2:$E$40,MATCH($C9,Dusts!$A$2:$A$40,0)),"—"))</f>
        <v/>
      </c>
      <c r="L9" s="68" t="str">
        <f aca="false">IF($C9="","",IFERROR(IF($D9="Continuous",20,IF($D9="Primary",21,IF($D9="Secondary",22,99))),"—"))</f>
        <v/>
      </c>
      <c r="M9" s="68" t="str">
        <f aca="false">IF($C9="","",IFERROR(IF($E9="Poor",21,IF($E9="Fair",22,99)),"—"))</f>
        <v/>
      </c>
      <c r="N9" s="78" t="str">
        <f aca="false">IF($C9="","",IFERROR(IF(MIN($L9,$M9)=99,"Non-hazardous","Zone "&amp;MIN($L9,$M9)),"—"))</f>
        <v/>
      </c>
      <c r="O9" s="78" t="str">
        <f aca="false">IF($C9="","",IFERROR(IF($N9="Zone 20","Da",IF($N9="Zone 21","Db",IF($N9="Zone 22","Dc","None required"))),"—"))</f>
        <v/>
      </c>
      <c r="P9" s="80" t="str">
        <f aca="false">IF($C9="","",IFERROR(2/3*$I9,"—"))</f>
        <v/>
      </c>
      <c r="Q9" s="81" t="str">
        <f aca="false">IF($C9="","",IFERROR(IF(N($F9)&lt;=5,$J9-75,IF($F9&lt;=50,"Reduce — see IEC 60079-14 graph","Lab test required")),"—"))</f>
        <v/>
      </c>
      <c r="R9" s="82" t="str">
        <f aca="false">IF($C9="","",IFERROR(IF(ISNUMBER($Q9),MIN($P9,$Q9),$P9),"—"))</f>
        <v/>
      </c>
      <c r="S9" s="79" t="str">
        <f aca="false">IF($C9="","",TRIM(IF(N($F9)&gt;5,"Layer &gt;5 mm: cloud limit shown only — layer limit must be reduced. ","")&amp;IF($H9="IIIC","Conductive dust (IIIC): check equipment group IIIC. ","")&amp;IF(IF(ISNUMBER($K9),$K9&lt;10,FALSE()),"Low MIE (&lt;10 mJ): sensitive to electrostatic ignition. ","")&amp;IF($E9="Poor","Poor housekeeping drives Zone 21 — improving cleaning lowers the zone. ","")))</f>
        <v/>
      </c>
    </row>
    <row r="10" customFormat="false" ht="15" hidden="false" customHeight="false" outlineLevel="0" collapsed="false">
      <c r="A10" s="56"/>
      <c r="B10" s="57"/>
      <c r="C10" s="56"/>
      <c r="D10" s="56"/>
      <c r="E10" s="56"/>
      <c r="F10" s="61"/>
      <c r="G10" s="59"/>
      <c r="H10" s="65" t="str">
        <f aca="false">IF($C10="","",IFERROR(INDEX(Dusts!$B$2:$B$40,MATCH($C10,Dusts!$A$2:$A$40,0)),"—"))</f>
        <v/>
      </c>
      <c r="I10" s="64" t="str">
        <f aca="false">IF($C10="","",IFERROR(INDEX(Dusts!$C$2:$C$40,MATCH($C10,Dusts!$A$2:$A$40,0)),"—"))</f>
        <v/>
      </c>
      <c r="J10" s="64" t="str">
        <f aca="false">IF($C10="","",IFERROR(INDEX(Dusts!$D$2:$D$40,MATCH($C10,Dusts!$A$2:$A$40,0)),"—"))</f>
        <v/>
      </c>
      <c r="K10" s="64" t="str">
        <f aca="false">IF($C10="","",IFERROR(INDEX(Dusts!$E$2:$E$40,MATCH($C10,Dusts!$A$2:$A$40,0)),"—"))</f>
        <v/>
      </c>
      <c r="L10" s="68" t="str">
        <f aca="false">IF($C10="","",IFERROR(IF($D10="Continuous",20,IF($D10="Primary",21,IF($D10="Secondary",22,99))),"—"))</f>
        <v/>
      </c>
      <c r="M10" s="68" t="str">
        <f aca="false">IF($C10="","",IFERROR(IF($E10="Poor",21,IF($E10="Fair",22,99)),"—"))</f>
        <v/>
      </c>
      <c r="N10" s="78" t="str">
        <f aca="false">IF($C10="","",IFERROR(IF(MIN($L10,$M10)=99,"Non-hazardous","Zone "&amp;MIN($L10,$M10)),"—"))</f>
        <v/>
      </c>
      <c r="O10" s="78" t="str">
        <f aca="false">IF($C10="","",IFERROR(IF($N10="Zone 20","Da",IF($N10="Zone 21","Db",IF($N10="Zone 22","Dc","None required"))),"—"))</f>
        <v/>
      </c>
      <c r="P10" s="80" t="str">
        <f aca="false">IF($C10="","",IFERROR(2/3*$I10,"—"))</f>
        <v/>
      </c>
      <c r="Q10" s="81" t="str">
        <f aca="false">IF($C10="","",IFERROR(IF(N($F10)&lt;=5,$J10-75,IF($F10&lt;=50,"Reduce — see IEC 60079-14 graph","Lab test required")),"—"))</f>
        <v/>
      </c>
      <c r="R10" s="82" t="str">
        <f aca="false">IF($C10="","",IFERROR(IF(ISNUMBER($Q10),MIN($P10,$Q10),$P10),"—"))</f>
        <v/>
      </c>
      <c r="S10" s="79" t="str">
        <f aca="false">IF($C10="","",TRIM(IF(N($F10)&gt;5,"Layer &gt;5 mm: cloud limit shown only — layer limit must be reduced. ","")&amp;IF($H10="IIIC","Conductive dust (IIIC): check equipment group IIIC. ","")&amp;IF(IF(ISNUMBER($K10),$K10&lt;10,FALSE()),"Low MIE (&lt;10 mJ): sensitive to electrostatic ignition. ","")&amp;IF($E10="Poor","Poor housekeeping drives Zone 21 — improving cleaning lowers the zone. ","")))</f>
        <v/>
      </c>
    </row>
    <row r="11" customFormat="false" ht="15" hidden="false" customHeight="false" outlineLevel="0" collapsed="false">
      <c r="A11" s="56"/>
      <c r="B11" s="57"/>
      <c r="C11" s="56"/>
      <c r="D11" s="56"/>
      <c r="E11" s="56"/>
      <c r="F11" s="61"/>
      <c r="G11" s="59"/>
      <c r="H11" s="65" t="str">
        <f aca="false">IF($C11="","",IFERROR(INDEX(Dusts!$B$2:$B$40,MATCH($C11,Dusts!$A$2:$A$40,0)),"—"))</f>
        <v/>
      </c>
      <c r="I11" s="64" t="str">
        <f aca="false">IF($C11="","",IFERROR(INDEX(Dusts!$C$2:$C$40,MATCH($C11,Dusts!$A$2:$A$40,0)),"—"))</f>
        <v/>
      </c>
      <c r="J11" s="64" t="str">
        <f aca="false">IF($C11="","",IFERROR(INDEX(Dusts!$D$2:$D$40,MATCH($C11,Dusts!$A$2:$A$40,0)),"—"))</f>
        <v/>
      </c>
      <c r="K11" s="64" t="str">
        <f aca="false">IF($C11="","",IFERROR(INDEX(Dusts!$E$2:$E$40,MATCH($C11,Dusts!$A$2:$A$40,0)),"—"))</f>
        <v/>
      </c>
      <c r="L11" s="68" t="str">
        <f aca="false">IF($C11="","",IFERROR(IF($D11="Continuous",20,IF($D11="Primary",21,IF($D11="Secondary",22,99))),"—"))</f>
        <v/>
      </c>
      <c r="M11" s="68" t="str">
        <f aca="false">IF($C11="","",IFERROR(IF($E11="Poor",21,IF($E11="Fair",22,99)),"—"))</f>
        <v/>
      </c>
      <c r="N11" s="78" t="str">
        <f aca="false">IF($C11="","",IFERROR(IF(MIN($L11,$M11)=99,"Non-hazardous","Zone "&amp;MIN($L11,$M11)),"—"))</f>
        <v/>
      </c>
      <c r="O11" s="78" t="str">
        <f aca="false">IF($C11="","",IFERROR(IF($N11="Zone 20","Da",IF($N11="Zone 21","Db",IF($N11="Zone 22","Dc","None required"))),"—"))</f>
        <v/>
      </c>
      <c r="P11" s="80" t="str">
        <f aca="false">IF($C11="","",IFERROR(2/3*$I11,"—"))</f>
        <v/>
      </c>
      <c r="Q11" s="81" t="str">
        <f aca="false">IF($C11="","",IFERROR(IF(N($F11)&lt;=5,$J11-75,IF($F11&lt;=50,"Reduce — see IEC 60079-14 graph","Lab test required")),"—"))</f>
        <v/>
      </c>
      <c r="R11" s="82" t="str">
        <f aca="false">IF($C11="","",IFERROR(IF(ISNUMBER($Q11),MIN($P11,$Q11),$P11),"—"))</f>
        <v/>
      </c>
      <c r="S11" s="79" t="str">
        <f aca="false">IF($C11="","",TRIM(IF(N($F11)&gt;5,"Layer &gt;5 mm: cloud limit shown only — layer limit must be reduced. ","")&amp;IF($H11="IIIC","Conductive dust (IIIC): check equipment group IIIC. ","")&amp;IF(IF(ISNUMBER($K11),$K11&lt;10,FALSE()),"Low MIE (&lt;10 mJ): sensitive to electrostatic ignition. ","")&amp;IF($E11="Poor","Poor housekeeping drives Zone 21 — improving cleaning lowers the zone. ","")))</f>
        <v/>
      </c>
    </row>
    <row r="12" customFormat="false" ht="15" hidden="false" customHeight="false" outlineLevel="0" collapsed="false">
      <c r="A12" s="56"/>
      <c r="B12" s="57"/>
      <c r="C12" s="56"/>
      <c r="D12" s="56"/>
      <c r="E12" s="56"/>
      <c r="F12" s="61"/>
      <c r="G12" s="59"/>
      <c r="H12" s="65" t="str">
        <f aca="false">IF($C12="","",IFERROR(INDEX(Dusts!$B$2:$B$40,MATCH($C12,Dusts!$A$2:$A$40,0)),"—"))</f>
        <v/>
      </c>
      <c r="I12" s="64" t="str">
        <f aca="false">IF($C12="","",IFERROR(INDEX(Dusts!$C$2:$C$40,MATCH($C12,Dusts!$A$2:$A$40,0)),"—"))</f>
        <v/>
      </c>
      <c r="J12" s="64" t="str">
        <f aca="false">IF($C12="","",IFERROR(INDEX(Dusts!$D$2:$D$40,MATCH($C12,Dusts!$A$2:$A$40,0)),"—"))</f>
        <v/>
      </c>
      <c r="K12" s="64" t="str">
        <f aca="false">IF($C12="","",IFERROR(INDEX(Dusts!$E$2:$E$40,MATCH($C12,Dusts!$A$2:$A$40,0)),"—"))</f>
        <v/>
      </c>
      <c r="L12" s="68" t="str">
        <f aca="false">IF($C12="","",IFERROR(IF($D12="Continuous",20,IF($D12="Primary",21,IF($D12="Secondary",22,99))),"—"))</f>
        <v/>
      </c>
      <c r="M12" s="68" t="str">
        <f aca="false">IF($C12="","",IFERROR(IF($E12="Poor",21,IF($E12="Fair",22,99)),"—"))</f>
        <v/>
      </c>
      <c r="N12" s="78" t="str">
        <f aca="false">IF($C12="","",IFERROR(IF(MIN($L12,$M12)=99,"Non-hazardous","Zone "&amp;MIN($L12,$M12)),"—"))</f>
        <v/>
      </c>
      <c r="O12" s="78" t="str">
        <f aca="false">IF($C12="","",IFERROR(IF($N12="Zone 20","Da",IF($N12="Zone 21","Db",IF($N12="Zone 22","Dc","None required"))),"—"))</f>
        <v/>
      </c>
      <c r="P12" s="80" t="str">
        <f aca="false">IF($C12="","",IFERROR(2/3*$I12,"—"))</f>
        <v/>
      </c>
      <c r="Q12" s="81" t="str">
        <f aca="false">IF($C12="","",IFERROR(IF(N($F12)&lt;=5,$J12-75,IF($F12&lt;=50,"Reduce — see IEC 60079-14 graph","Lab test required")),"—"))</f>
        <v/>
      </c>
      <c r="R12" s="82" t="str">
        <f aca="false">IF($C12="","",IFERROR(IF(ISNUMBER($Q12),MIN($P12,$Q12),$P12),"—"))</f>
        <v/>
      </c>
      <c r="S12" s="79" t="str">
        <f aca="false">IF($C12="","",TRIM(IF(N($F12)&gt;5,"Layer &gt;5 mm: cloud limit shown only — layer limit must be reduced. ","")&amp;IF($H12="IIIC","Conductive dust (IIIC): check equipment group IIIC. ","")&amp;IF(IF(ISNUMBER($K12),$K12&lt;10,FALSE()),"Low MIE (&lt;10 mJ): sensitive to electrostatic ignition. ","")&amp;IF($E12="Poor","Poor housekeeping drives Zone 21 — improving cleaning lowers the zone. ","")))</f>
        <v/>
      </c>
    </row>
    <row r="13" customFormat="false" ht="15" hidden="false" customHeight="false" outlineLevel="0" collapsed="false">
      <c r="A13" s="56"/>
      <c r="B13" s="57"/>
      <c r="C13" s="56"/>
      <c r="D13" s="56"/>
      <c r="E13" s="56"/>
      <c r="F13" s="61"/>
      <c r="G13" s="59"/>
      <c r="H13" s="65" t="str">
        <f aca="false">IF($C13="","",IFERROR(INDEX(Dusts!$B$2:$B$40,MATCH($C13,Dusts!$A$2:$A$40,0)),"—"))</f>
        <v/>
      </c>
      <c r="I13" s="64" t="str">
        <f aca="false">IF($C13="","",IFERROR(INDEX(Dusts!$C$2:$C$40,MATCH($C13,Dusts!$A$2:$A$40,0)),"—"))</f>
        <v/>
      </c>
      <c r="J13" s="64" t="str">
        <f aca="false">IF($C13="","",IFERROR(INDEX(Dusts!$D$2:$D$40,MATCH($C13,Dusts!$A$2:$A$40,0)),"—"))</f>
        <v/>
      </c>
      <c r="K13" s="64" t="str">
        <f aca="false">IF($C13="","",IFERROR(INDEX(Dusts!$E$2:$E$40,MATCH($C13,Dusts!$A$2:$A$40,0)),"—"))</f>
        <v/>
      </c>
      <c r="L13" s="68" t="str">
        <f aca="false">IF($C13="","",IFERROR(IF($D13="Continuous",20,IF($D13="Primary",21,IF($D13="Secondary",22,99))),"—"))</f>
        <v/>
      </c>
      <c r="M13" s="68" t="str">
        <f aca="false">IF($C13="","",IFERROR(IF($E13="Poor",21,IF($E13="Fair",22,99)),"—"))</f>
        <v/>
      </c>
      <c r="N13" s="78" t="str">
        <f aca="false">IF($C13="","",IFERROR(IF(MIN($L13,$M13)=99,"Non-hazardous","Zone "&amp;MIN($L13,$M13)),"—"))</f>
        <v/>
      </c>
      <c r="O13" s="78" t="str">
        <f aca="false">IF($C13="","",IFERROR(IF($N13="Zone 20","Da",IF($N13="Zone 21","Db",IF($N13="Zone 22","Dc","None required"))),"—"))</f>
        <v/>
      </c>
      <c r="P13" s="80" t="str">
        <f aca="false">IF($C13="","",IFERROR(2/3*$I13,"—"))</f>
        <v/>
      </c>
      <c r="Q13" s="81" t="str">
        <f aca="false">IF($C13="","",IFERROR(IF(N($F13)&lt;=5,$J13-75,IF($F13&lt;=50,"Reduce — see IEC 60079-14 graph","Lab test required")),"—"))</f>
        <v/>
      </c>
      <c r="R13" s="82" t="str">
        <f aca="false">IF($C13="","",IFERROR(IF(ISNUMBER($Q13),MIN($P13,$Q13),$P13),"—"))</f>
        <v/>
      </c>
      <c r="S13" s="79" t="str">
        <f aca="false">IF($C13="","",TRIM(IF(N($F13)&gt;5,"Layer &gt;5 mm: cloud limit shown only — layer limit must be reduced. ","")&amp;IF($H13="IIIC","Conductive dust (IIIC): check equipment group IIIC. ","")&amp;IF(IF(ISNUMBER($K13),$K13&lt;10,FALSE()),"Low MIE (&lt;10 mJ): sensitive to electrostatic ignition. ","")&amp;IF($E13="Poor","Poor housekeeping drives Zone 21 — improving cleaning lowers the zone. ","")))</f>
        <v/>
      </c>
    </row>
    <row r="14" customFormat="false" ht="15" hidden="false" customHeight="false" outlineLevel="0" collapsed="false">
      <c r="A14" s="56"/>
      <c r="B14" s="57"/>
      <c r="C14" s="56"/>
      <c r="D14" s="56"/>
      <c r="E14" s="56"/>
      <c r="F14" s="61"/>
      <c r="G14" s="59"/>
      <c r="H14" s="65" t="str">
        <f aca="false">IF($C14="","",IFERROR(INDEX(Dusts!$B$2:$B$40,MATCH($C14,Dusts!$A$2:$A$40,0)),"—"))</f>
        <v/>
      </c>
      <c r="I14" s="64" t="str">
        <f aca="false">IF($C14="","",IFERROR(INDEX(Dusts!$C$2:$C$40,MATCH($C14,Dusts!$A$2:$A$40,0)),"—"))</f>
        <v/>
      </c>
      <c r="J14" s="64" t="str">
        <f aca="false">IF($C14="","",IFERROR(INDEX(Dusts!$D$2:$D$40,MATCH($C14,Dusts!$A$2:$A$40,0)),"—"))</f>
        <v/>
      </c>
      <c r="K14" s="64" t="str">
        <f aca="false">IF($C14="","",IFERROR(INDEX(Dusts!$E$2:$E$40,MATCH($C14,Dusts!$A$2:$A$40,0)),"—"))</f>
        <v/>
      </c>
      <c r="L14" s="68" t="str">
        <f aca="false">IF($C14="","",IFERROR(IF($D14="Continuous",20,IF($D14="Primary",21,IF($D14="Secondary",22,99))),"—"))</f>
        <v/>
      </c>
      <c r="M14" s="68" t="str">
        <f aca="false">IF($C14="","",IFERROR(IF($E14="Poor",21,IF($E14="Fair",22,99)),"—"))</f>
        <v/>
      </c>
      <c r="N14" s="78" t="str">
        <f aca="false">IF($C14="","",IFERROR(IF(MIN($L14,$M14)=99,"Non-hazardous","Zone "&amp;MIN($L14,$M14)),"—"))</f>
        <v/>
      </c>
      <c r="O14" s="78" t="str">
        <f aca="false">IF($C14="","",IFERROR(IF($N14="Zone 20","Da",IF($N14="Zone 21","Db",IF($N14="Zone 22","Dc","None required"))),"—"))</f>
        <v/>
      </c>
      <c r="P14" s="80" t="str">
        <f aca="false">IF($C14="","",IFERROR(2/3*$I14,"—"))</f>
        <v/>
      </c>
      <c r="Q14" s="81" t="str">
        <f aca="false">IF($C14="","",IFERROR(IF(N($F14)&lt;=5,$J14-75,IF($F14&lt;=50,"Reduce — see IEC 60079-14 graph","Lab test required")),"—"))</f>
        <v/>
      </c>
      <c r="R14" s="82" t="str">
        <f aca="false">IF($C14="","",IFERROR(IF(ISNUMBER($Q14),MIN($P14,$Q14),$P14),"—"))</f>
        <v/>
      </c>
      <c r="S14" s="79" t="str">
        <f aca="false">IF($C14="","",TRIM(IF(N($F14)&gt;5,"Layer &gt;5 mm: cloud limit shown only — layer limit must be reduced. ","")&amp;IF($H14="IIIC","Conductive dust (IIIC): check equipment group IIIC. ","")&amp;IF(IF(ISNUMBER($K14),$K14&lt;10,FALSE()),"Low MIE (&lt;10 mJ): sensitive to electrostatic ignition. ","")&amp;IF($E14="Poor","Poor housekeeping drives Zone 21 — improving cleaning lowers the zone. ","")))</f>
        <v/>
      </c>
    </row>
    <row r="15" customFormat="false" ht="15" hidden="false" customHeight="false" outlineLevel="0" collapsed="false">
      <c r="A15" s="56"/>
      <c r="B15" s="57"/>
      <c r="C15" s="56"/>
      <c r="D15" s="56"/>
      <c r="E15" s="56"/>
      <c r="F15" s="61"/>
      <c r="G15" s="59"/>
      <c r="H15" s="65" t="str">
        <f aca="false">IF($C15="","",IFERROR(INDEX(Dusts!$B$2:$B$40,MATCH($C15,Dusts!$A$2:$A$40,0)),"—"))</f>
        <v/>
      </c>
      <c r="I15" s="64" t="str">
        <f aca="false">IF($C15="","",IFERROR(INDEX(Dusts!$C$2:$C$40,MATCH($C15,Dusts!$A$2:$A$40,0)),"—"))</f>
        <v/>
      </c>
      <c r="J15" s="64" t="str">
        <f aca="false">IF($C15="","",IFERROR(INDEX(Dusts!$D$2:$D$40,MATCH($C15,Dusts!$A$2:$A$40,0)),"—"))</f>
        <v/>
      </c>
      <c r="K15" s="64" t="str">
        <f aca="false">IF($C15="","",IFERROR(INDEX(Dusts!$E$2:$E$40,MATCH($C15,Dusts!$A$2:$A$40,0)),"—"))</f>
        <v/>
      </c>
      <c r="L15" s="68" t="str">
        <f aca="false">IF($C15="","",IFERROR(IF($D15="Continuous",20,IF($D15="Primary",21,IF($D15="Secondary",22,99))),"—"))</f>
        <v/>
      </c>
      <c r="M15" s="68" t="str">
        <f aca="false">IF($C15="","",IFERROR(IF($E15="Poor",21,IF($E15="Fair",22,99)),"—"))</f>
        <v/>
      </c>
      <c r="N15" s="78" t="str">
        <f aca="false">IF($C15="","",IFERROR(IF(MIN($L15,$M15)=99,"Non-hazardous","Zone "&amp;MIN($L15,$M15)),"—"))</f>
        <v/>
      </c>
      <c r="O15" s="78" t="str">
        <f aca="false">IF($C15="","",IFERROR(IF($N15="Zone 20","Da",IF($N15="Zone 21","Db",IF($N15="Zone 22","Dc","None required"))),"—"))</f>
        <v/>
      </c>
      <c r="P15" s="80" t="str">
        <f aca="false">IF($C15="","",IFERROR(2/3*$I15,"—"))</f>
        <v/>
      </c>
      <c r="Q15" s="81" t="str">
        <f aca="false">IF($C15="","",IFERROR(IF(N($F15)&lt;=5,$J15-75,IF($F15&lt;=50,"Reduce — see IEC 60079-14 graph","Lab test required")),"—"))</f>
        <v/>
      </c>
      <c r="R15" s="82" t="str">
        <f aca="false">IF($C15="","",IFERROR(IF(ISNUMBER($Q15),MIN($P15,$Q15),$P15),"—"))</f>
        <v/>
      </c>
      <c r="S15" s="79" t="str">
        <f aca="false">IF($C15="","",TRIM(IF(N($F15)&gt;5,"Layer &gt;5 mm: cloud limit shown only — layer limit must be reduced. ","")&amp;IF($H15="IIIC","Conductive dust (IIIC): check equipment group IIIC. ","")&amp;IF(IF(ISNUMBER($K15),$K15&lt;10,FALSE()),"Low MIE (&lt;10 mJ): sensitive to electrostatic ignition. ","")&amp;IF($E15="Poor","Poor housekeeping drives Zone 21 — improving cleaning lowers the zone. ","")))</f>
        <v/>
      </c>
    </row>
    <row r="16" customFormat="false" ht="15" hidden="false" customHeight="false" outlineLevel="0" collapsed="false">
      <c r="A16" s="56"/>
      <c r="B16" s="57"/>
      <c r="C16" s="56"/>
      <c r="D16" s="56"/>
      <c r="E16" s="56"/>
      <c r="F16" s="61"/>
      <c r="G16" s="59"/>
      <c r="H16" s="65" t="str">
        <f aca="false">IF($C16="","",IFERROR(INDEX(Dusts!$B$2:$B$40,MATCH($C16,Dusts!$A$2:$A$40,0)),"—"))</f>
        <v/>
      </c>
      <c r="I16" s="64" t="str">
        <f aca="false">IF($C16="","",IFERROR(INDEX(Dusts!$C$2:$C$40,MATCH($C16,Dusts!$A$2:$A$40,0)),"—"))</f>
        <v/>
      </c>
      <c r="J16" s="64" t="str">
        <f aca="false">IF($C16="","",IFERROR(INDEX(Dusts!$D$2:$D$40,MATCH($C16,Dusts!$A$2:$A$40,0)),"—"))</f>
        <v/>
      </c>
      <c r="K16" s="64" t="str">
        <f aca="false">IF($C16="","",IFERROR(INDEX(Dusts!$E$2:$E$40,MATCH($C16,Dusts!$A$2:$A$40,0)),"—"))</f>
        <v/>
      </c>
      <c r="L16" s="68" t="str">
        <f aca="false">IF($C16="","",IFERROR(IF($D16="Continuous",20,IF($D16="Primary",21,IF($D16="Secondary",22,99))),"—"))</f>
        <v/>
      </c>
      <c r="M16" s="68" t="str">
        <f aca="false">IF($C16="","",IFERROR(IF($E16="Poor",21,IF($E16="Fair",22,99)),"—"))</f>
        <v/>
      </c>
      <c r="N16" s="78" t="str">
        <f aca="false">IF($C16="","",IFERROR(IF(MIN($L16,$M16)=99,"Non-hazardous","Zone "&amp;MIN($L16,$M16)),"—"))</f>
        <v/>
      </c>
      <c r="O16" s="78" t="str">
        <f aca="false">IF($C16="","",IFERROR(IF($N16="Zone 20","Da",IF($N16="Zone 21","Db",IF($N16="Zone 22","Dc","None required"))),"—"))</f>
        <v/>
      </c>
      <c r="P16" s="80" t="str">
        <f aca="false">IF($C16="","",IFERROR(2/3*$I16,"—"))</f>
        <v/>
      </c>
      <c r="Q16" s="81" t="str">
        <f aca="false">IF($C16="","",IFERROR(IF(N($F16)&lt;=5,$J16-75,IF($F16&lt;=50,"Reduce — see IEC 60079-14 graph","Lab test required")),"—"))</f>
        <v/>
      </c>
      <c r="R16" s="82" t="str">
        <f aca="false">IF($C16="","",IFERROR(IF(ISNUMBER($Q16),MIN($P16,$Q16),$P16),"—"))</f>
        <v/>
      </c>
      <c r="S16" s="79" t="str">
        <f aca="false">IF($C16="","",TRIM(IF(N($F16)&gt;5,"Layer &gt;5 mm: cloud limit shown only — layer limit must be reduced. ","")&amp;IF($H16="IIIC","Conductive dust (IIIC): check equipment group IIIC. ","")&amp;IF(IF(ISNUMBER($K16),$K16&lt;10,FALSE()),"Low MIE (&lt;10 mJ): sensitive to electrostatic ignition. ","")&amp;IF($E16="Poor","Poor housekeeping drives Zone 21 — improving cleaning lowers the zone. ","")))</f>
        <v/>
      </c>
    </row>
    <row r="17" customFormat="false" ht="15" hidden="false" customHeight="false" outlineLevel="0" collapsed="false">
      <c r="A17" s="56"/>
      <c r="B17" s="57"/>
      <c r="C17" s="56"/>
      <c r="D17" s="56"/>
      <c r="E17" s="56"/>
      <c r="F17" s="61"/>
      <c r="G17" s="59"/>
      <c r="H17" s="65" t="str">
        <f aca="false">IF($C17="","",IFERROR(INDEX(Dusts!$B$2:$B$40,MATCH($C17,Dusts!$A$2:$A$40,0)),"—"))</f>
        <v/>
      </c>
      <c r="I17" s="64" t="str">
        <f aca="false">IF($C17="","",IFERROR(INDEX(Dusts!$C$2:$C$40,MATCH($C17,Dusts!$A$2:$A$40,0)),"—"))</f>
        <v/>
      </c>
      <c r="J17" s="64" t="str">
        <f aca="false">IF($C17="","",IFERROR(INDEX(Dusts!$D$2:$D$40,MATCH($C17,Dusts!$A$2:$A$40,0)),"—"))</f>
        <v/>
      </c>
      <c r="K17" s="64" t="str">
        <f aca="false">IF($C17="","",IFERROR(INDEX(Dusts!$E$2:$E$40,MATCH($C17,Dusts!$A$2:$A$40,0)),"—"))</f>
        <v/>
      </c>
      <c r="L17" s="68" t="str">
        <f aca="false">IF($C17="","",IFERROR(IF($D17="Continuous",20,IF($D17="Primary",21,IF($D17="Secondary",22,99))),"—"))</f>
        <v/>
      </c>
      <c r="M17" s="68" t="str">
        <f aca="false">IF($C17="","",IFERROR(IF($E17="Poor",21,IF($E17="Fair",22,99)),"—"))</f>
        <v/>
      </c>
      <c r="N17" s="78" t="str">
        <f aca="false">IF($C17="","",IFERROR(IF(MIN($L17,$M17)=99,"Non-hazardous","Zone "&amp;MIN($L17,$M17)),"—"))</f>
        <v/>
      </c>
      <c r="O17" s="78" t="str">
        <f aca="false">IF($C17="","",IFERROR(IF($N17="Zone 20","Da",IF($N17="Zone 21","Db",IF($N17="Zone 22","Dc","None required"))),"—"))</f>
        <v/>
      </c>
      <c r="P17" s="80" t="str">
        <f aca="false">IF($C17="","",IFERROR(2/3*$I17,"—"))</f>
        <v/>
      </c>
      <c r="Q17" s="81" t="str">
        <f aca="false">IF($C17="","",IFERROR(IF(N($F17)&lt;=5,$J17-75,IF($F17&lt;=50,"Reduce — see IEC 60079-14 graph","Lab test required")),"—"))</f>
        <v/>
      </c>
      <c r="R17" s="82" t="str">
        <f aca="false">IF($C17="","",IFERROR(IF(ISNUMBER($Q17),MIN($P17,$Q17),$P17),"—"))</f>
        <v/>
      </c>
      <c r="S17" s="79" t="str">
        <f aca="false">IF($C17="","",TRIM(IF(N($F17)&gt;5,"Layer &gt;5 mm: cloud limit shown only — layer limit must be reduced. ","")&amp;IF($H17="IIIC","Conductive dust (IIIC): check equipment group IIIC. ","")&amp;IF(IF(ISNUMBER($K17),$K17&lt;10,FALSE()),"Low MIE (&lt;10 mJ): sensitive to electrostatic ignition. ","")&amp;IF($E17="Poor","Poor housekeeping drives Zone 21 — improving cleaning lowers the zone. ","")))</f>
        <v/>
      </c>
    </row>
    <row r="18" customFormat="false" ht="15" hidden="false" customHeight="false" outlineLevel="0" collapsed="false">
      <c r="A18" s="56"/>
      <c r="B18" s="57"/>
      <c r="C18" s="56"/>
      <c r="D18" s="56"/>
      <c r="E18" s="56"/>
      <c r="F18" s="61"/>
      <c r="G18" s="59"/>
      <c r="H18" s="65" t="str">
        <f aca="false">IF($C18="","",IFERROR(INDEX(Dusts!$B$2:$B$40,MATCH($C18,Dusts!$A$2:$A$40,0)),"—"))</f>
        <v/>
      </c>
      <c r="I18" s="64" t="str">
        <f aca="false">IF($C18="","",IFERROR(INDEX(Dusts!$C$2:$C$40,MATCH($C18,Dusts!$A$2:$A$40,0)),"—"))</f>
        <v/>
      </c>
      <c r="J18" s="64" t="str">
        <f aca="false">IF($C18="","",IFERROR(INDEX(Dusts!$D$2:$D$40,MATCH($C18,Dusts!$A$2:$A$40,0)),"—"))</f>
        <v/>
      </c>
      <c r="K18" s="64" t="str">
        <f aca="false">IF($C18="","",IFERROR(INDEX(Dusts!$E$2:$E$40,MATCH($C18,Dusts!$A$2:$A$40,0)),"—"))</f>
        <v/>
      </c>
      <c r="L18" s="68" t="str">
        <f aca="false">IF($C18="","",IFERROR(IF($D18="Continuous",20,IF($D18="Primary",21,IF($D18="Secondary",22,99))),"—"))</f>
        <v/>
      </c>
      <c r="M18" s="68" t="str">
        <f aca="false">IF($C18="","",IFERROR(IF($E18="Poor",21,IF($E18="Fair",22,99)),"—"))</f>
        <v/>
      </c>
      <c r="N18" s="78" t="str">
        <f aca="false">IF($C18="","",IFERROR(IF(MIN($L18,$M18)=99,"Non-hazardous","Zone "&amp;MIN($L18,$M18)),"—"))</f>
        <v/>
      </c>
      <c r="O18" s="78" t="str">
        <f aca="false">IF($C18="","",IFERROR(IF($N18="Zone 20","Da",IF($N18="Zone 21","Db",IF($N18="Zone 22","Dc","None required"))),"—"))</f>
        <v/>
      </c>
      <c r="P18" s="80" t="str">
        <f aca="false">IF($C18="","",IFERROR(2/3*$I18,"—"))</f>
        <v/>
      </c>
      <c r="Q18" s="81" t="str">
        <f aca="false">IF($C18="","",IFERROR(IF(N($F18)&lt;=5,$J18-75,IF($F18&lt;=50,"Reduce — see IEC 60079-14 graph","Lab test required")),"—"))</f>
        <v/>
      </c>
      <c r="R18" s="82" t="str">
        <f aca="false">IF($C18="","",IFERROR(IF(ISNUMBER($Q18),MIN($P18,$Q18),$P18),"—"))</f>
        <v/>
      </c>
      <c r="S18" s="79" t="str">
        <f aca="false">IF($C18="","",TRIM(IF(N($F18)&gt;5,"Layer &gt;5 mm: cloud limit shown only — layer limit must be reduced. ","")&amp;IF($H18="IIIC","Conductive dust (IIIC): check equipment group IIIC. ","")&amp;IF(IF(ISNUMBER($K18),$K18&lt;10,FALSE()),"Low MIE (&lt;10 mJ): sensitive to electrostatic ignition. ","")&amp;IF($E18="Poor","Poor housekeeping drives Zone 21 — improving cleaning lowers the zone. ","")))</f>
        <v/>
      </c>
    </row>
    <row r="19" customFormat="false" ht="15" hidden="false" customHeight="false" outlineLevel="0" collapsed="false">
      <c r="A19" s="56"/>
      <c r="B19" s="57"/>
      <c r="C19" s="56"/>
      <c r="D19" s="56"/>
      <c r="E19" s="56"/>
      <c r="F19" s="61"/>
      <c r="G19" s="59"/>
      <c r="H19" s="65" t="str">
        <f aca="false">IF($C19="","",IFERROR(INDEX(Dusts!$B$2:$B$40,MATCH($C19,Dusts!$A$2:$A$40,0)),"—"))</f>
        <v/>
      </c>
      <c r="I19" s="64" t="str">
        <f aca="false">IF($C19="","",IFERROR(INDEX(Dusts!$C$2:$C$40,MATCH($C19,Dusts!$A$2:$A$40,0)),"—"))</f>
        <v/>
      </c>
      <c r="J19" s="64" t="str">
        <f aca="false">IF($C19="","",IFERROR(INDEX(Dusts!$D$2:$D$40,MATCH($C19,Dusts!$A$2:$A$40,0)),"—"))</f>
        <v/>
      </c>
      <c r="K19" s="64" t="str">
        <f aca="false">IF($C19="","",IFERROR(INDEX(Dusts!$E$2:$E$40,MATCH($C19,Dusts!$A$2:$A$40,0)),"—"))</f>
        <v/>
      </c>
      <c r="L19" s="68" t="str">
        <f aca="false">IF($C19="","",IFERROR(IF($D19="Continuous",20,IF($D19="Primary",21,IF($D19="Secondary",22,99))),"—"))</f>
        <v/>
      </c>
      <c r="M19" s="68" t="str">
        <f aca="false">IF($C19="","",IFERROR(IF($E19="Poor",21,IF($E19="Fair",22,99)),"—"))</f>
        <v/>
      </c>
      <c r="N19" s="78" t="str">
        <f aca="false">IF($C19="","",IFERROR(IF(MIN($L19,$M19)=99,"Non-hazardous","Zone "&amp;MIN($L19,$M19)),"—"))</f>
        <v/>
      </c>
      <c r="O19" s="78" t="str">
        <f aca="false">IF($C19="","",IFERROR(IF($N19="Zone 20","Da",IF($N19="Zone 21","Db",IF($N19="Zone 22","Dc","None required"))),"—"))</f>
        <v/>
      </c>
      <c r="P19" s="80" t="str">
        <f aca="false">IF($C19="","",IFERROR(2/3*$I19,"—"))</f>
        <v/>
      </c>
      <c r="Q19" s="81" t="str">
        <f aca="false">IF($C19="","",IFERROR(IF(N($F19)&lt;=5,$J19-75,IF($F19&lt;=50,"Reduce — see IEC 60079-14 graph","Lab test required")),"—"))</f>
        <v/>
      </c>
      <c r="R19" s="82" t="str">
        <f aca="false">IF($C19="","",IFERROR(IF(ISNUMBER($Q19),MIN($P19,$Q19),$P19),"—"))</f>
        <v/>
      </c>
      <c r="S19" s="79" t="str">
        <f aca="false">IF($C19="","",TRIM(IF(N($F19)&gt;5,"Layer &gt;5 mm: cloud limit shown only — layer limit must be reduced. ","")&amp;IF($H19="IIIC","Conductive dust (IIIC): check equipment group IIIC. ","")&amp;IF(IF(ISNUMBER($K19),$K19&lt;10,FALSE()),"Low MIE (&lt;10 mJ): sensitive to electrostatic ignition. ","")&amp;IF($E19="Poor","Poor housekeeping drives Zone 21 — improving cleaning lowers the zone. ","")))</f>
        <v/>
      </c>
    </row>
    <row r="20" customFormat="false" ht="15" hidden="false" customHeight="false" outlineLevel="0" collapsed="false">
      <c r="A20" s="56"/>
      <c r="B20" s="57"/>
      <c r="C20" s="56"/>
      <c r="D20" s="56"/>
      <c r="E20" s="56"/>
      <c r="F20" s="61"/>
      <c r="G20" s="59"/>
      <c r="H20" s="65" t="str">
        <f aca="false">IF($C20="","",IFERROR(INDEX(Dusts!$B$2:$B$40,MATCH($C20,Dusts!$A$2:$A$40,0)),"—"))</f>
        <v/>
      </c>
      <c r="I20" s="64" t="str">
        <f aca="false">IF($C20="","",IFERROR(INDEX(Dusts!$C$2:$C$40,MATCH($C20,Dusts!$A$2:$A$40,0)),"—"))</f>
        <v/>
      </c>
      <c r="J20" s="64" t="str">
        <f aca="false">IF($C20="","",IFERROR(INDEX(Dusts!$D$2:$D$40,MATCH($C20,Dusts!$A$2:$A$40,0)),"—"))</f>
        <v/>
      </c>
      <c r="K20" s="64" t="str">
        <f aca="false">IF($C20="","",IFERROR(INDEX(Dusts!$E$2:$E$40,MATCH($C20,Dusts!$A$2:$A$40,0)),"—"))</f>
        <v/>
      </c>
      <c r="L20" s="68" t="str">
        <f aca="false">IF($C20="","",IFERROR(IF($D20="Continuous",20,IF($D20="Primary",21,IF($D20="Secondary",22,99))),"—"))</f>
        <v/>
      </c>
      <c r="M20" s="68" t="str">
        <f aca="false">IF($C20="","",IFERROR(IF($E20="Poor",21,IF($E20="Fair",22,99)),"—"))</f>
        <v/>
      </c>
      <c r="N20" s="78" t="str">
        <f aca="false">IF($C20="","",IFERROR(IF(MIN($L20,$M20)=99,"Non-hazardous","Zone "&amp;MIN($L20,$M20)),"—"))</f>
        <v/>
      </c>
      <c r="O20" s="78" t="str">
        <f aca="false">IF($C20="","",IFERROR(IF($N20="Zone 20","Da",IF($N20="Zone 21","Db",IF($N20="Zone 22","Dc","None required"))),"—"))</f>
        <v/>
      </c>
      <c r="P20" s="80" t="str">
        <f aca="false">IF($C20="","",IFERROR(2/3*$I20,"—"))</f>
        <v/>
      </c>
      <c r="Q20" s="81" t="str">
        <f aca="false">IF($C20="","",IFERROR(IF(N($F20)&lt;=5,$J20-75,IF($F20&lt;=50,"Reduce — see IEC 60079-14 graph","Lab test required")),"—"))</f>
        <v/>
      </c>
      <c r="R20" s="82" t="str">
        <f aca="false">IF($C20="","",IFERROR(IF(ISNUMBER($Q20),MIN($P20,$Q20),$P20),"—"))</f>
        <v/>
      </c>
      <c r="S20" s="79" t="str">
        <f aca="false">IF($C20="","",TRIM(IF(N($F20)&gt;5,"Layer &gt;5 mm: cloud limit shown only — layer limit must be reduced. ","")&amp;IF($H20="IIIC","Conductive dust (IIIC): check equipment group IIIC. ","")&amp;IF(IF(ISNUMBER($K20),$K20&lt;10,FALSE()),"Low MIE (&lt;10 mJ): sensitive to electrostatic ignition. ","")&amp;IF($E20="Poor","Poor housekeeping drives Zone 21 — improving cleaning lowers the zone. ","")))</f>
        <v/>
      </c>
    </row>
    <row r="21" customFormat="false" ht="15" hidden="false" customHeight="false" outlineLevel="0" collapsed="false">
      <c r="A21" s="56"/>
      <c r="B21" s="57"/>
      <c r="C21" s="56"/>
      <c r="D21" s="56"/>
      <c r="E21" s="56"/>
      <c r="F21" s="61"/>
      <c r="G21" s="59"/>
      <c r="H21" s="65" t="str">
        <f aca="false">IF($C21="","",IFERROR(INDEX(Dusts!$B$2:$B$40,MATCH($C21,Dusts!$A$2:$A$40,0)),"—"))</f>
        <v/>
      </c>
      <c r="I21" s="64" t="str">
        <f aca="false">IF($C21="","",IFERROR(INDEX(Dusts!$C$2:$C$40,MATCH($C21,Dusts!$A$2:$A$40,0)),"—"))</f>
        <v/>
      </c>
      <c r="J21" s="64" t="str">
        <f aca="false">IF($C21="","",IFERROR(INDEX(Dusts!$D$2:$D$40,MATCH($C21,Dusts!$A$2:$A$40,0)),"—"))</f>
        <v/>
      </c>
      <c r="K21" s="64" t="str">
        <f aca="false">IF($C21="","",IFERROR(INDEX(Dusts!$E$2:$E$40,MATCH($C21,Dusts!$A$2:$A$40,0)),"—"))</f>
        <v/>
      </c>
      <c r="L21" s="68" t="str">
        <f aca="false">IF($C21="","",IFERROR(IF($D21="Continuous",20,IF($D21="Primary",21,IF($D21="Secondary",22,99))),"—"))</f>
        <v/>
      </c>
      <c r="M21" s="68" t="str">
        <f aca="false">IF($C21="","",IFERROR(IF($E21="Poor",21,IF($E21="Fair",22,99)),"—"))</f>
        <v/>
      </c>
      <c r="N21" s="78" t="str">
        <f aca="false">IF($C21="","",IFERROR(IF(MIN($L21,$M21)=99,"Non-hazardous","Zone "&amp;MIN($L21,$M21)),"—"))</f>
        <v/>
      </c>
      <c r="O21" s="78" t="str">
        <f aca="false">IF($C21="","",IFERROR(IF($N21="Zone 20","Da",IF($N21="Zone 21","Db",IF($N21="Zone 22","Dc","None required"))),"—"))</f>
        <v/>
      </c>
      <c r="P21" s="80" t="str">
        <f aca="false">IF($C21="","",IFERROR(2/3*$I21,"—"))</f>
        <v/>
      </c>
      <c r="Q21" s="81" t="str">
        <f aca="false">IF($C21="","",IFERROR(IF(N($F21)&lt;=5,$J21-75,IF($F21&lt;=50,"Reduce — see IEC 60079-14 graph","Lab test required")),"—"))</f>
        <v/>
      </c>
      <c r="R21" s="82" t="str">
        <f aca="false">IF($C21="","",IFERROR(IF(ISNUMBER($Q21),MIN($P21,$Q21),$P21),"—"))</f>
        <v/>
      </c>
      <c r="S21" s="79" t="str">
        <f aca="false">IF($C21="","",TRIM(IF(N($F21)&gt;5,"Layer &gt;5 mm: cloud limit shown only — layer limit must be reduced. ","")&amp;IF($H21="IIIC","Conductive dust (IIIC): check equipment group IIIC. ","")&amp;IF(IF(ISNUMBER($K21),$K21&lt;10,FALSE()),"Low MIE (&lt;10 mJ): sensitive to electrostatic ignition. ","")&amp;IF($E21="Poor","Poor housekeeping drives Zone 21 — improving cleaning lowers the zone. ","")))</f>
        <v/>
      </c>
    </row>
    <row r="22" customFormat="false" ht="15" hidden="false" customHeight="false" outlineLevel="0" collapsed="false">
      <c r="A22" s="56"/>
      <c r="B22" s="57"/>
      <c r="C22" s="56"/>
      <c r="D22" s="56"/>
      <c r="E22" s="56"/>
      <c r="F22" s="61"/>
      <c r="G22" s="59"/>
      <c r="H22" s="65" t="str">
        <f aca="false">IF($C22="","",IFERROR(INDEX(Dusts!$B$2:$B$40,MATCH($C22,Dusts!$A$2:$A$40,0)),"—"))</f>
        <v/>
      </c>
      <c r="I22" s="64" t="str">
        <f aca="false">IF($C22="","",IFERROR(INDEX(Dusts!$C$2:$C$40,MATCH($C22,Dusts!$A$2:$A$40,0)),"—"))</f>
        <v/>
      </c>
      <c r="J22" s="64" t="str">
        <f aca="false">IF($C22="","",IFERROR(INDEX(Dusts!$D$2:$D$40,MATCH($C22,Dusts!$A$2:$A$40,0)),"—"))</f>
        <v/>
      </c>
      <c r="K22" s="64" t="str">
        <f aca="false">IF($C22="","",IFERROR(INDEX(Dusts!$E$2:$E$40,MATCH($C22,Dusts!$A$2:$A$40,0)),"—"))</f>
        <v/>
      </c>
      <c r="L22" s="68" t="str">
        <f aca="false">IF($C22="","",IFERROR(IF($D22="Continuous",20,IF($D22="Primary",21,IF($D22="Secondary",22,99))),"—"))</f>
        <v/>
      </c>
      <c r="M22" s="68" t="str">
        <f aca="false">IF($C22="","",IFERROR(IF($E22="Poor",21,IF($E22="Fair",22,99)),"—"))</f>
        <v/>
      </c>
      <c r="N22" s="78" t="str">
        <f aca="false">IF($C22="","",IFERROR(IF(MIN($L22,$M22)=99,"Non-hazardous","Zone "&amp;MIN($L22,$M22)),"—"))</f>
        <v/>
      </c>
      <c r="O22" s="78" t="str">
        <f aca="false">IF($C22="","",IFERROR(IF($N22="Zone 20","Da",IF($N22="Zone 21","Db",IF($N22="Zone 22","Dc","None required"))),"—"))</f>
        <v/>
      </c>
      <c r="P22" s="80" t="str">
        <f aca="false">IF($C22="","",IFERROR(2/3*$I22,"—"))</f>
        <v/>
      </c>
      <c r="Q22" s="81" t="str">
        <f aca="false">IF($C22="","",IFERROR(IF(N($F22)&lt;=5,$J22-75,IF($F22&lt;=50,"Reduce — see IEC 60079-14 graph","Lab test required")),"—"))</f>
        <v/>
      </c>
      <c r="R22" s="82" t="str">
        <f aca="false">IF($C22="","",IFERROR(IF(ISNUMBER($Q22),MIN($P22,$Q22),$P22),"—"))</f>
        <v/>
      </c>
      <c r="S22" s="79" t="str">
        <f aca="false">IF($C22="","",TRIM(IF(N($F22)&gt;5,"Layer &gt;5 mm: cloud limit shown only — layer limit must be reduced. ","")&amp;IF($H22="IIIC","Conductive dust (IIIC): check equipment group IIIC. ","")&amp;IF(IF(ISNUMBER($K22),$K22&lt;10,FALSE()),"Low MIE (&lt;10 mJ): sensitive to electrostatic ignition. ","")&amp;IF($E22="Poor","Poor housekeeping drives Zone 21 — improving cleaning lowers the zone. ","")))</f>
        <v/>
      </c>
    </row>
    <row r="23" customFormat="false" ht="15" hidden="false" customHeight="false" outlineLevel="0" collapsed="false">
      <c r="A23" s="56"/>
      <c r="B23" s="57"/>
      <c r="C23" s="56"/>
      <c r="D23" s="56"/>
      <c r="E23" s="56"/>
      <c r="F23" s="61"/>
      <c r="G23" s="59"/>
      <c r="H23" s="65" t="str">
        <f aca="false">IF($C23="","",IFERROR(INDEX(Dusts!$B$2:$B$40,MATCH($C23,Dusts!$A$2:$A$40,0)),"—"))</f>
        <v/>
      </c>
      <c r="I23" s="64" t="str">
        <f aca="false">IF($C23="","",IFERROR(INDEX(Dusts!$C$2:$C$40,MATCH($C23,Dusts!$A$2:$A$40,0)),"—"))</f>
        <v/>
      </c>
      <c r="J23" s="64" t="str">
        <f aca="false">IF($C23="","",IFERROR(INDEX(Dusts!$D$2:$D$40,MATCH($C23,Dusts!$A$2:$A$40,0)),"—"))</f>
        <v/>
      </c>
      <c r="K23" s="64" t="str">
        <f aca="false">IF($C23="","",IFERROR(INDEX(Dusts!$E$2:$E$40,MATCH($C23,Dusts!$A$2:$A$40,0)),"—"))</f>
        <v/>
      </c>
      <c r="L23" s="68" t="str">
        <f aca="false">IF($C23="","",IFERROR(IF($D23="Continuous",20,IF($D23="Primary",21,IF($D23="Secondary",22,99))),"—"))</f>
        <v/>
      </c>
      <c r="M23" s="68" t="str">
        <f aca="false">IF($C23="","",IFERROR(IF($E23="Poor",21,IF($E23="Fair",22,99)),"—"))</f>
        <v/>
      </c>
      <c r="N23" s="78" t="str">
        <f aca="false">IF($C23="","",IFERROR(IF(MIN($L23,$M23)=99,"Non-hazardous","Zone "&amp;MIN($L23,$M23)),"—"))</f>
        <v/>
      </c>
      <c r="O23" s="78" t="str">
        <f aca="false">IF($C23="","",IFERROR(IF($N23="Zone 20","Da",IF($N23="Zone 21","Db",IF($N23="Zone 22","Dc","None required"))),"—"))</f>
        <v/>
      </c>
      <c r="P23" s="80" t="str">
        <f aca="false">IF($C23="","",IFERROR(2/3*$I23,"—"))</f>
        <v/>
      </c>
      <c r="Q23" s="81" t="str">
        <f aca="false">IF($C23="","",IFERROR(IF(N($F23)&lt;=5,$J23-75,IF($F23&lt;=50,"Reduce — see IEC 60079-14 graph","Lab test required")),"—"))</f>
        <v/>
      </c>
      <c r="R23" s="82" t="str">
        <f aca="false">IF($C23="","",IFERROR(IF(ISNUMBER($Q23),MIN($P23,$Q23),$P23),"—"))</f>
        <v/>
      </c>
      <c r="S23" s="79" t="str">
        <f aca="false">IF($C23="","",TRIM(IF(N($F23)&gt;5,"Layer &gt;5 mm: cloud limit shown only — layer limit must be reduced. ","")&amp;IF($H23="IIIC","Conductive dust (IIIC): check equipment group IIIC. ","")&amp;IF(IF(ISNUMBER($K23),$K23&lt;10,FALSE()),"Low MIE (&lt;10 mJ): sensitive to electrostatic ignition. ","")&amp;IF($E23="Poor","Poor housekeeping drives Zone 21 — improving cleaning lowers the zone. ","")))</f>
        <v/>
      </c>
    </row>
    <row r="24" customFormat="false" ht="15" hidden="false" customHeight="false" outlineLevel="0" collapsed="false">
      <c r="A24" s="56"/>
      <c r="B24" s="57"/>
      <c r="C24" s="56"/>
      <c r="D24" s="56"/>
      <c r="E24" s="56"/>
      <c r="F24" s="61"/>
      <c r="G24" s="59"/>
      <c r="H24" s="65" t="str">
        <f aca="false">IF($C24="","",IFERROR(INDEX(Dusts!$B$2:$B$40,MATCH($C24,Dusts!$A$2:$A$40,0)),"—"))</f>
        <v/>
      </c>
      <c r="I24" s="64" t="str">
        <f aca="false">IF($C24="","",IFERROR(INDEX(Dusts!$C$2:$C$40,MATCH($C24,Dusts!$A$2:$A$40,0)),"—"))</f>
        <v/>
      </c>
      <c r="J24" s="64" t="str">
        <f aca="false">IF($C24="","",IFERROR(INDEX(Dusts!$D$2:$D$40,MATCH($C24,Dusts!$A$2:$A$40,0)),"—"))</f>
        <v/>
      </c>
      <c r="K24" s="64" t="str">
        <f aca="false">IF($C24="","",IFERROR(INDEX(Dusts!$E$2:$E$40,MATCH($C24,Dusts!$A$2:$A$40,0)),"—"))</f>
        <v/>
      </c>
      <c r="L24" s="68" t="str">
        <f aca="false">IF($C24="","",IFERROR(IF($D24="Continuous",20,IF($D24="Primary",21,IF($D24="Secondary",22,99))),"—"))</f>
        <v/>
      </c>
      <c r="M24" s="68" t="str">
        <f aca="false">IF($C24="","",IFERROR(IF($E24="Poor",21,IF($E24="Fair",22,99)),"—"))</f>
        <v/>
      </c>
      <c r="N24" s="78" t="str">
        <f aca="false">IF($C24="","",IFERROR(IF(MIN($L24,$M24)=99,"Non-hazardous","Zone "&amp;MIN($L24,$M24)),"—"))</f>
        <v/>
      </c>
      <c r="O24" s="78" t="str">
        <f aca="false">IF($C24="","",IFERROR(IF($N24="Zone 20","Da",IF($N24="Zone 21","Db",IF($N24="Zone 22","Dc","None required"))),"—"))</f>
        <v/>
      </c>
      <c r="P24" s="80" t="str">
        <f aca="false">IF($C24="","",IFERROR(2/3*$I24,"—"))</f>
        <v/>
      </c>
      <c r="Q24" s="81" t="str">
        <f aca="false">IF($C24="","",IFERROR(IF(N($F24)&lt;=5,$J24-75,IF($F24&lt;=50,"Reduce — see IEC 60079-14 graph","Lab test required")),"—"))</f>
        <v/>
      </c>
      <c r="R24" s="82" t="str">
        <f aca="false">IF($C24="","",IFERROR(IF(ISNUMBER($Q24),MIN($P24,$Q24),$P24),"—"))</f>
        <v/>
      </c>
      <c r="S24" s="79" t="str">
        <f aca="false">IF($C24="","",TRIM(IF(N($F24)&gt;5,"Layer &gt;5 mm: cloud limit shown only — layer limit must be reduced. ","")&amp;IF($H24="IIIC","Conductive dust (IIIC): check equipment group IIIC. ","")&amp;IF(IF(ISNUMBER($K24),$K24&lt;10,FALSE()),"Low MIE (&lt;10 mJ): sensitive to electrostatic ignition. ","")&amp;IF($E24="Poor","Poor housekeeping drives Zone 21 — improving cleaning lowers the zone. ","")))</f>
        <v/>
      </c>
    </row>
    <row r="25" customFormat="false" ht="15" hidden="false" customHeight="false" outlineLevel="0" collapsed="false">
      <c r="A25" s="56"/>
      <c r="B25" s="57"/>
      <c r="C25" s="56"/>
      <c r="D25" s="56"/>
      <c r="E25" s="56"/>
      <c r="F25" s="61"/>
      <c r="G25" s="59"/>
      <c r="H25" s="65" t="str">
        <f aca="false">IF($C25="","",IFERROR(INDEX(Dusts!$B$2:$B$40,MATCH($C25,Dusts!$A$2:$A$40,0)),"—"))</f>
        <v/>
      </c>
      <c r="I25" s="64" t="str">
        <f aca="false">IF($C25="","",IFERROR(INDEX(Dusts!$C$2:$C$40,MATCH($C25,Dusts!$A$2:$A$40,0)),"—"))</f>
        <v/>
      </c>
      <c r="J25" s="64" t="str">
        <f aca="false">IF($C25="","",IFERROR(INDEX(Dusts!$D$2:$D$40,MATCH($C25,Dusts!$A$2:$A$40,0)),"—"))</f>
        <v/>
      </c>
      <c r="K25" s="64" t="str">
        <f aca="false">IF($C25="","",IFERROR(INDEX(Dusts!$E$2:$E$40,MATCH($C25,Dusts!$A$2:$A$40,0)),"—"))</f>
        <v/>
      </c>
      <c r="L25" s="68" t="str">
        <f aca="false">IF($C25="","",IFERROR(IF($D25="Continuous",20,IF($D25="Primary",21,IF($D25="Secondary",22,99))),"—"))</f>
        <v/>
      </c>
      <c r="M25" s="68" t="str">
        <f aca="false">IF($C25="","",IFERROR(IF($E25="Poor",21,IF($E25="Fair",22,99)),"—"))</f>
        <v/>
      </c>
      <c r="N25" s="78" t="str">
        <f aca="false">IF($C25="","",IFERROR(IF(MIN($L25,$M25)=99,"Non-hazardous","Zone "&amp;MIN($L25,$M25)),"—"))</f>
        <v/>
      </c>
      <c r="O25" s="78" t="str">
        <f aca="false">IF($C25="","",IFERROR(IF($N25="Zone 20","Da",IF($N25="Zone 21","Db",IF($N25="Zone 22","Dc","None required"))),"—"))</f>
        <v/>
      </c>
      <c r="P25" s="80" t="str">
        <f aca="false">IF($C25="","",IFERROR(2/3*$I25,"—"))</f>
        <v/>
      </c>
      <c r="Q25" s="81" t="str">
        <f aca="false">IF($C25="","",IFERROR(IF(N($F25)&lt;=5,$J25-75,IF($F25&lt;=50,"Reduce — see IEC 60079-14 graph","Lab test required")),"—"))</f>
        <v/>
      </c>
      <c r="R25" s="82" t="str">
        <f aca="false">IF($C25="","",IFERROR(IF(ISNUMBER($Q25),MIN($P25,$Q25),$P25),"—"))</f>
        <v/>
      </c>
      <c r="S25" s="79" t="str">
        <f aca="false">IF($C25="","",TRIM(IF(N($F25)&gt;5,"Layer &gt;5 mm: cloud limit shown only — layer limit must be reduced. ","")&amp;IF($H25="IIIC","Conductive dust (IIIC): check equipment group IIIC. ","")&amp;IF(IF(ISNUMBER($K25),$K25&lt;10,FALSE()),"Low MIE (&lt;10 mJ): sensitive to electrostatic ignition. ","")&amp;IF($E25="Poor","Poor housekeeping drives Zone 21 — improving cleaning lowers the zone. ","")))</f>
        <v/>
      </c>
    </row>
    <row r="26" customFormat="false" ht="15" hidden="false" customHeight="false" outlineLevel="0" collapsed="false">
      <c r="A26" s="56"/>
      <c r="B26" s="57"/>
      <c r="C26" s="56"/>
      <c r="D26" s="56"/>
      <c r="E26" s="56"/>
      <c r="F26" s="61"/>
      <c r="G26" s="59"/>
      <c r="H26" s="65" t="str">
        <f aca="false">IF($C26="","",IFERROR(INDEX(Dusts!$B$2:$B$40,MATCH($C26,Dusts!$A$2:$A$40,0)),"—"))</f>
        <v/>
      </c>
      <c r="I26" s="64" t="str">
        <f aca="false">IF($C26="","",IFERROR(INDEX(Dusts!$C$2:$C$40,MATCH($C26,Dusts!$A$2:$A$40,0)),"—"))</f>
        <v/>
      </c>
      <c r="J26" s="64" t="str">
        <f aca="false">IF($C26="","",IFERROR(INDEX(Dusts!$D$2:$D$40,MATCH($C26,Dusts!$A$2:$A$40,0)),"—"))</f>
        <v/>
      </c>
      <c r="K26" s="64" t="str">
        <f aca="false">IF($C26="","",IFERROR(INDEX(Dusts!$E$2:$E$40,MATCH($C26,Dusts!$A$2:$A$40,0)),"—"))</f>
        <v/>
      </c>
      <c r="L26" s="68" t="str">
        <f aca="false">IF($C26="","",IFERROR(IF($D26="Continuous",20,IF($D26="Primary",21,IF($D26="Secondary",22,99))),"—"))</f>
        <v/>
      </c>
      <c r="M26" s="68" t="str">
        <f aca="false">IF($C26="","",IFERROR(IF($E26="Poor",21,IF($E26="Fair",22,99)),"—"))</f>
        <v/>
      </c>
      <c r="N26" s="78" t="str">
        <f aca="false">IF($C26="","",IFERROR(IF(MIN($L26,$M26)=99,"Non-hazardous","Zone "&amp;MIN($L26,$M26)),"—"))</f>
        <v/>
      </c>
      <c r="O26" s="78" t="str">
        <f aca="false">IF($C26="","",IFERROR(IF($N26="Zone 20","Da",IF($N26="Zone 21","Db",IF($N26="Zone 22","Dc","None required"))),"—"))</f>
        <v/>
      </c>
      <c r="P26" s="80" t="str">
        <f aca="false">IF($C26="","",IFERROR(2/3*$I26,"—"))</f>
        <v/>
      </c>
      <c r="Q26" s="81" t="str">
        <f aca="false">IF($C26="","",IFERROR(IF(N($F26)&lt;=5,$J26-75,IF($F26&lt;=50,"Reduce — see IEC 60079-14 graph","Lab test required")),"—"))</f>
        <v/>
      </c>
      <c r="R26" s="82" t="str">
        <f aca="false">IF($C26="","",IFERROR(IF(ISNUMBER($Q26),MIN($P26,$Q26),$P26),"—"))</f>
        <v/>
      </c>
      <c r="S26" s="79" t="str">
        <f aca="false">IF($C26="","",TRIM(IF(N($F26)&gt;5,"Layer &gt;5 mm: cloud limit shown only — layer limit must be reduced. ","")&amp;IF($H26="IIIC","Conductive dust (IIIC): check equipment group IIIC. ","")&amp;IF(IF(ISNUMBER($K26),$K26&lt;10,FALSE()),"Low MIE (&lt;10 mJ): sensitive to electrostatic ignition. ","")&amp;IF($E26="Poor","Poor housekeeping drives Zone 21 — improving cleaning lowers the zone. ","")))</f>
        <v/>
      </c>
    </row>
    <row r="27" customFormat="false" ht="15" hidden="false" customHeight="false" outlineLevel="0" collapsed="false">
      <c r="A27" s="56"/>
      <c r="B27" s="57"/>
      <c r="C27" s="56"/>
      <c r="D27" s="56"/>
      <c r="E27" s="56"/>
      <c r="F27" s="61"/>
      <c r="G27" s="59"/>
      <c r="H27" s="65" t="str">
        <f aca="false">IF($C27="","",IFERROR(INDEX(Dusts!$B$2:$B$40,MATCH($C27,Dusts!$A$2:$A$40,0)),"—"))</f>
        <v/>
      </c>
      <c r="I27" s="64" t="str">
        <f aca="false">IF($C27="","",IFERROR(INDEX(Dusts!$C$2:$C$40,MATCH($C27,Dusts!$A$2:$A$40,0)),"—"))</f>
        <v/>
      </c>
      <c r="J27" s="64" t="str">
        <f aca="false">IF($C27="","",IFERROR(INDEX(Dusts!$D$2:$D$40,MATCH($C27,Dusts!$A$2:$A$40,0)),"—"))</f>
        <v/>
      </c>
      <c r="K27" s="64" t="str">
        <f aca="false">IF($C27="","",IFERROR(INDEX(Dusts!$E$2:$E$40,MATCH($C27,Dusts!$A$2:$A$40,0)),"—"))</f>
        <v/>
      </c>
      <c r="L27" s="68" t="str">
        <f aca="false">IF($C27="","",IFERROR(IF($D27="Continuous",20,IF($D27="Primary",21,IF($D27="Secondary",22,99))),"—"))</f>
        <v/>
      </c>
      <c r="M27" s="68" t="str">
        <f aca="false">IF($C27="","",IFERROR(IF($E27="Poor",21,IF($E27="Fair",22,99)),"—"))</f>
        <v/>
      </c>
      <c r="N27" s="78" t="str">
        <f aca="false">IF($C27="","",IFERROR(IF(MIN($L27,$M27)=99,"Non-hazardous","Zone "&amp;MIN($L27,$M27)),"—"))</f>
        <v/>
      </c>
      <c r="O27" s="78" t="str">
        <f aca="false">IF($C27="","",IFERROR(IF($N27="Zone 20","Da",IF($N27="Zone 21","Db",IF($N27="Zone 22","Dc","None required"))),"—"))</f>
        <v/>
      </c>
      <c r="P27" s="80" t="str">
        <f aca="false">IF($C27="","",IFERROR(2/3*$I27,"—"))</f>
        <v/>
      </c>
      <c r="Q27" s="81" t="str">
        <f aca="false">IF($C27="","",IFERROR(IF(N($F27)&lt;=5,$J27-75,IF($F27&lt;=50,"Reduce — see IEC 60079-14 graph","Lab test required")),"—"))</f>
        <v/>
      </c>
      <c r="R27" s="82" t="str">
        <f aca="false">IF($C27="","",IFERROR(IF(ISNUMBER($Q27),MIN($P27,$Q27),$P27),"—"))</f>
        <v/>
      </c>
      <c r="S27" s="79" t="str">
        <f aca="false">IF($C27="","",TRIM(IF(N($F27)&gt;5,"Layer &gt;5 mm: cloud limit shown only — layer limit must be reduced. ","")&amp;IF($H27="IIIC","Conductive dust (IIIC): check equipment group IIIC. ","")&amp;IF(IF(ISNUMBER($K27),$K27&lt;10,FALSE()),"Low MIE (&lt;10 mJ): sensitive to electrostatic ignition. ","")&amp;IF($E27="Poor","Poor housekeeping drives Zone 21 — improving cleaning lowers the zone. ","")))</f>
        <v/>
      </c>
    </row>
    <row r="28" customFormat="false" ht="15" hidden="false" customHeight="false" outlineLevel="0" collapsed="false">
      <c r="A28" s="56"/>
      <c r="B28" s="57"/>
      <c r="C28" s="56"/>
      <c r="D28" s="56"/>
      <c r="E28" s="56"/>
      <c r="F28" s="61"/>
      <c r="G28" s="59"/>
      <c r="H28" s="65" t="str">
        <f aca="false">IF($C28="","",IFERROR(INDEX(Dusts!$B$2:$B$40,MATCH($C28,Dusts!$A$2:$A$40,0)),"—"))</f>
        <v/>
      </c>
      <c r="I28" s="64" t="str">
        <f aca="false">IF($C28="","",IFERROR(INDEX(Dusts!$C$2:$C$40,MATCH($C28,Dusts!$A$2:$A$40,0)),"—"))</f>
        <v/>
      </c>
      <c r="J28" s="64" t="str">
        <f aca="false">IF($C28="","",IFERROR(INDEX(Dusts!$D$2:$D$40,MATCH($C28,Dusts!$A$2:$A$40,0)),"—"))</f>
        <v/>
      </c>
      <c r="K28" s="64" t="str">
        <f aca="false">IF($C28="","",IFERROR(INDEX(Dusts!$E$2:$E$40,MATCH($C28,Dusts!$A$2:$A$40,0)),"—"))</f>
        <v/>
      </c>
      <c r="L28" s="68" t="str">
        <f aca="false">IF($C28="","",IFERROR(IF($D28="Continuous",20,IF($D28="Primary",21,IF($D28="Secondary",22,99))),"—"))</f>
        <v/>
      </c>
      <c r="M28" s="68" t="str">
        <f aca="false">IF($C28="","",IFERROR(IF($E28="Poor",21,IF($E28="Fair",22,99)),"—"))</f>
        <v/>
      </c>
      <c r="N28" s="78" t="str">
        <f aca="false">IF($C28="","",IFERROR(IF(MIN($L28,$M28)=99,"Non-hazardous","Zone "&amp;MIN($L28,$M28)),"—"))</f>
        <v/>
      </c>
      <c r="O28" s="78" t="str">
        <f aca="false">IF($C28="","",IFERROR(IF($N28="Zone 20","Da",IF($N28="Zone 21","Db",IF($N28="Zone 22","Dc","None required"))),"—"))</f>
        <v/>
      </c>
      <c r="P28" s="80" t="str">
        <f aca="false">IF($C28="","",IFERROR(2/3*$I28,"—"))</f>
        <v/>
      </c>
      <c r="Q28" s="81" t="str">
        <f aca="false">IF($C28="","",IFERROR(IF(N($F28)&lt;=5,$J28-75,IF($F28&lt;=50,"Reduce — see IEC 60079-14 graph","Lab test required")),"—"))</f>
        <v/>
      </c>
      <c r="R28" s="82" t="str">
        <f aca="false">IF($C28="","",IFERROR(IF(ISNUMBER($Q28),MIN($P28,$Q28),$P28),"—"))</f>
        <v/>
      </c>
      <c r="S28" s="79" t="str">
        <f aca="false">IF($C28="","",TRIM(IF(N($F28)&gt;5,"Layer &gt;5 mm: cloud limit shown only — layer limit must be reduced. ","")&amp;IF($H28="IIIC","Conductive dust (IIIC): check equipment group IIIC. ","")&amp;IF(IF(ISNUMBER($K28),$K28&lt;10,FALSE()),"Low MIE (&lt;10 mJ): sensitive to electrostatic ignition. ","")&amp;IF($E28="Poor","Poor housekeeping drives Zone 21 — improving cleaning lowers the zone. ","")))</f>
        <v/>
      </c>
    </row>
    <row r="29" customFormat="false" ht="15" hidden="false" customHeight="false" outlineLevel="0" collapsed="false">
      <c r="A29" s="56"/>
      <c r="B29" s="57"/>
      <c r="C29" s="56"/>
      <c r="D29" s="56"/>
      <c r="E29" s="56"/>
      <c r="F29" s="61"/>
      <c r="G29" s="59"/>
      <c r="H29" s="65" t="str">
        <f aca="false">IF($C29="","",IFERROR(INDEX(Dusts!$B$2:$B$40,MATCH($C29,Dusts!$A$2:$A$40,0)),"—"))</f>
        <v/>
      </c>
      <c r="I29" s="64" t="str">
        <f aca="false">IF($C29="","",IFERROR(INDEX(Dusts!$C$2:$C$40,MATCH($C29,Dusts!$A$2:$A$40,0)),"—"))</f>
        <v/>
      </c>
      <c r="J29" s="64" t="str">
        <f aca="false">IF($C29="","",IFERROR(INDEX(Dusts!$D$2:$D$40,MATCH($C29,Dusts!$A$2:$A$40,0)),"—"))</f>
        <v/>
      </c>
      <c r="K29" s="64" t="str">
        <f aca="false">IF($C29="","",IFERROR(INDEX(Dusts!$E$2:$E$40,MATCH($C29,Dusts!$A$2:$A$40,0)),"—"))</f>
        <v/>
      </c>
      <c r="L29" s="68" t="str">
        <f aca="false">IF($C29="","",IFERROR(IF($D29="Continuous",20,IF($D29="Primary",21,IF($D29="Secondary",22,99))),"—"))</f>
        <v/>
      </c>
      <c r="M29" s="68" t="str">
        <f aca="false">IF($C29="","",IFERROR(IF($E29="Poor",21,IF($E29="Fair",22,99)),"—"))</f>
        <v/>
      </c>
      <c r="N29" s="78" t="str">
        <f aca="false">IF($C29="","",IFERROR(IF(MIN($L29,$M29)=99,"Non-hazardous","Zone "&amp;MIN($L29,$M29)),"—"))</f>
        <v/>
      </c>
      <c r="O29" s="78" t="str">
        <f aca="false">IF($C29="","",IFERROR(IF($N29="Zone 20","Da",IF($N29="Zone 21","Db",IF($N29="Zone 22","Dc","None required"))),"—"))</f>
        <v/>
      </c>
      <c r="P29" s="80" t="str">
        <f aca="false">IF($C29="","",IFERROR(2/3*$I29,"—"))</f>
        <v/>
      </c>
      <c r="Q29" s="81" t="str">
        <f aca="false">IF($C29="","",IFERROR(IF(N($F29)&lt;=5,$J29-75,IF($F29&lt;=50,"Reduce — see IEC 60079-14 graph","Lab test required")),"—"))</f>
        <v/>
      </c>
      <c r="R29" s="82" t="str">
        <f aca="false">IF($C29="","",IFERROR(IF(ISNUMBER($Q29),MIN($P29,$Q29),$P29),"—"))</f>
        <v/>
      </c>
      <c r="S29" s="79" t="str">
        <f aca="false">IF($C29="","",TRIM(IF(N($F29)&gt;5,"Layer &gt;5 mm: cloud limit shown only — layer limit must be reduced. ","")&amp;IF($H29="IIIC","Conductive dust (IIIC): check equipment group IIIC. ","")&amp;IF(IF(ISNUMBER($K29),$K29&lt;10,FALSE()),"Low MIE (&lt;10 mJ): sensitive to electrostatic ignition. ","")&amp;IF($E29="Poor","Poor housekeeping drives Zone 21 — improving cleaning lowers the zone. ","")))</f>
        <v/>
      </c>
    </row>
    <row r="30" customFormat="false" ht="15" hidden="false" customHeight="false" outlineLevel="0" collapsed="false">
      <c r="A30" s="56"/>
      <c r="B30" s="57"/>
      <c r="C30" s="56"/>
      <c r="D30" s="56"/>
      <c r="E30" s="56"/>
      <c r="F30" s="61"/>
      <c r="G30" s="59"/>
      <c r="H30" s="65" t="str">
        <f aca="false">IF($C30="","",IFERROR(INDEX(Dusts!$B$2:$B$40,MATCH($C30,Dusts!$A$2:$A$40,0)),"—"))</f>
        <v/>
      </c>
      <c r="I30" s="64" t="str">
        <f aca="false">IF($C30="","",IFERROR(INDEX(Dusts!$C$2:$C$40,MATCH($C30,Dusts!$A$2:$A$40,0)),"—"))</f>
        <v/>
      </c>
      <c r="J30" s="64" t="str">
        <f aca="false">IF($C30="","",IFERROR(INDEX(Dusts!$D$2:$D$40,MATCH($C30,Dusts!$A$2:$A$40,0)),"—"))</f>
        <v/>
      </c>
      <c r="K30" s="64" t="str">
        <f aca="false">IF($C30="","",IFERROR(INDEX(Dusts!$E$2:$E$40,MATCH($C30,Dusts!$A$2:$A$40,0)),"—"))</f>
        <v/>
      </c>
      <c r="L30" s="68" t="str">
        <f aca="false">IF($C30="","",IFERROR(IF($D30="Continuous",20,IF($D30="Primary",21,IF($D30="Secondary",22,99))),"—"))</f>
        <v/>
      </c>
      <c r="M30" s="68" t="str">
        <f aca="false">IF($C30="","",IFERROR(IF($E30="Poor",21,IF($E30="Fair",22,99)),"—"))</f>
        <v/>
      </c>
      <c r="N30" s="78" t="str">
        <f aca="false">IF($C30="","",IFERROR(IF(MIN($L30,$M30)=99,"Non-hazardous","Zone "&amp;MIN($L30,$M30)),"—"))</f>
        <v/>
      </c>
      <c r="O30" s="78" t="str">
        <f aca="false">IF($C30="","",IFERROR(IF($N30="Zone 20","Da",IF($N30="Zone 21","Db",IF($N30="Zone 22","Dc","None required"))),"—"))</f>
        <v/>
      </c>
      <c r="P30" s="80" t="str">
        <f aca="false">IF($C30="","",IFERROR(2/3*$I30,"—"))</f>
        <v/>
      </c>
      <c r="Q30" s="81" t="str">
        <f aca="false">IF($C30="","",IFERROR(IF(N($F30)&lt;=5,$J30-75,IF($F30&lt;=50,"Reduce — see IEC 60079-14 graph","Lab test required")),"—"))</f>
        <v/>
      </c>
      <c r="R30" s="82" t="str">
        <f aca="false">IF($C30="","",IFERROR(IF(ISNUMBER($Q30),MIN($P30,$Q30),$P30),"—"))</f>
        <v/>
      </c>
      <c r="S30" s="79" t="str">
        <f aca="false">IF($C30="","",TRIM(IF(N($F30)&gt;5,"Layer &gt;5 mm: cloud limit shown only — layer limit must be reduced. ","")&amp;IF($H30="IIIC","Conductive dust (IIIC): check equipment group IIIC. ","")&amp;IF(IF(ISNUMBER($K30),$K30&lt;10,FALSE()),"Low MIE (&lt;10 mJ): sensitive to electrostatic ignition. ","")&amp;IF($E30="Poor","Poor housekeeping drives Zone 21 — improving cleaning lowers the zone. ","")))</f>
        <v/>
      </c>
    </row>
    <row r="31" customFormat="false" ht="15" hidden="false" customHeight="false" outlineLevel="0" collapsed="false">
      <c r="A31" s="56"/>
      <c r="B31" s="57"/>
      <c r="C31" s="56"/>
      <c r="D31" s="56"/>
      <c r="E31" s="56"/>
      <c r="F31" s="61"/>
      <c r="G31" s="59"/>
      <c r="H31" s="65" t="str">
        <f aca="false">IF($C31="","",IFERROR(INDEX(Dusts!$B$2:$B$40,MATCH($C31,Dusts!$A$2:$A$40,0)),"—"))</f>
        <v/>
      </c>
      <c r="I31" s="64" t="str">
        <f aca="false">IF($C31="","",IFERROR(INDEX(Dusts!$C$2:$C$40,MATCH($C31,Dusts!$A$2:$A$40,0)),"—"))</f>
        <v/>
      </c>
      <c r="J31" s="64" t="str">
        <f aca="false">IF($C31="","",IFERROR(INDEX(Dusts!$D$2:$D$40,MATCH($C31,Dusts!$A$2:$A$40,0)),"—"))</f>
        <v/>
      </c>
      <c r="K31" s="64" t="str">
        <f aca="false">IF($C31="","",IFERROR(INDEX(Dusts!$E$2:$E$40,MATCH($C31,Dusts!$A$2:$A$40,0)),"—"))</f>
        <v/>
      </c>
      <c r="L31" s="68" t="str">
        <f aca="false">IF($C31="","",IFERROR(IF($D31="Continuous",20,IF($D31="Primary",21,IF($D31="Secondary",22,99))),"—"))</f>
        <v/>
      </c>
      <c r="M31" s="68" t="str">
        <f aca="false">IF($C31="","",IFERROR(IF($E31="Poor",21,IF($E31="Fair",22,99)),"—"))</f>
        <v/>
      </c>
      <c r="N31" s="78" t="str">
        <f aca="false">IF($C31="","",IFERROR(IF(MIN($L31,$M31)=99,"Non-hazardous","Zone "&amp;MIN($L31,$M31)),"—"))</f>
        <v/>
      </c>
      <c r="O31" s="78" t="str">
        <f aca="false">IF($C31="","",IFERROR(IF($N31="Zone 20","Da",IF($N31="Zone 21","Db",IF($N31="Zone 22","Dc","None required"))),"—"))</f>
        <v/>
      </c>
      <c r="P31" s="80" t="str">
        <f aca="false">IF($C31="","",IFERROR(2/3*$I31,"—"))</f>
        <v/>
      </c>
      <c r="Q31" s="81" t="str">
        <f aca="false">IF($C31="","",IFERROR(IF(N($F31)&lt;=5,$J31-75,IF($F31&lt;=50,"Reduce — see IEC 60079-14 graph","Lab test required")),"—"))</f>
        <v/>
      </c>
      <c r="R31" s="82" t="str">
        <f aca="false">IF($C31="","",IFERROR(IF(ISNUMBER($Q31),MIN($P31,$Q31),$P31),"—"))</f>
        <v/>
      </c>
      <c r="S31" s="79" t="str">
        <f aca="false">IF($C31="","",TRIM(IF(N($F31)&gt;5,"Layer &gt;5 mm: cloud limit shown only — layer limit must be reduced. ","")&amp;IF($H31="IIIC","Conductive dust (IIIC): check equipment group IIIC. ","")&amp;IF(IF(ISNUMBER($K31),$K31&lt;10,FALSE()),"Low MIE (&lt;10 mJ): sensitive to electrostatic ignition. ","")&amp;IF($E31="Poor","Poor housekeeping drives Zone 21 — improving cleaning lowers the zone. ","")))</f>
        <v/>
      </c>
    </row>
    <row r="32" customFormat="false" ht="15" hidden="false" customHeight="false" outlineLevel="0" collapsed="false">
      <c r="A32" s="56"/>
      <c r="B32" s="57"/>
      <c r="C32" s="56"/>
      <c r="D32" s="56"/>
      <c r="E32" s="56"/>
      <c r="F32" s="61"/>
      <c r="G32" s="59"/>
      <c r="H32" s="65" t="str">
        <f aca="false">IF($C32="","",IFERROR(INDEX(Dusts!$B$2:$B$40,MATCH($C32,Dusts!$A$2:$A$40,0)),"—"))</f>
        <v/>
      </c>
      <c r="I32" s="64" t="str">
        <f aca="false">IF($C32="","",IFERROR(INDEX(Dusts!$C$2:$C$40,MATCH($C32,Dusts!$A$2:$A$40,0)),"—"))</f>
        <v/>
      </c>
      <c r="J32" s="64" t="str">
        <f aca="false">IF($C32="","",IFERROR(INDEX(Dusts!$D$2:$D$40,MATCH($C32,Dusts!$A$2:$A$40,0)),"—"))</f>
        <v/>
      </c>
      <c r="K32" s="64" t="str">
        <f aca="false">IF($C32="","",IFERROR(INDEX(Dusts!$E$2:$E$40,MATCH($C32,Dusts!$A$2:$A$40,0)),"—"))</f>
        <v/>
      </c>
      <c r="L32" s="68" t="str">
        <f aca="false">IF($C32="","",IFERROR(IF($D32="Continuous",20,IF($D32="Primary",21,IF($D32="Secondary",22,99))),"—"))</f>
        <v/>
      </c>
      <c r="M32" s="68" t="str">
        <f aca="false">IF($C32="","",IFERROR(IF($E32="Poor",21,IF($E32="Fair",22,99)),"—"))</f>
        <v/>
      </c>
      <c r="N32" s="78" t="str">
        <f aca="false">IF($C32="","",IFERROR(IF(MIN($L32,$M32)=99,"Non-hazardous","Zone "&amp;MIN($L32,$M32)),"—"))</f>
        <v/>
      </c>
      <c r="O32" s="78" t="str">
        <f aca="false">IF($C32="","",IFERROR(IF($N32="Zone 20","Da",IF($N32="Zone 21","Db",IF($N32="Zone 22","Dc","None required"))),"—"))</f>
        <v/>
      </c>
      <c r="P32" s="80" t="str">
        <f aca="false">IF($C32="","",IFERROR(2/3*$I32,"—"))</f>
        <v/>
      </c>
      <c r="Q32" s="81" t="str">
        <f aca="false">IF($C32="","",IFERROR(IF(N($F32)&lt;=5,$J32-75,IF($F32&lt;=50,"Reduce — see IEC 60079-14 graph","Lab test required")),"—"))</f>
        <v/>
      </c>
      <c r="R32" s="82" t="str">
        <f aca="false">IF($C32="","",IFERROR(IF(ISNUMBER($Q32),MIN($P32,$Q32),$P32),"—"))</f>
        <v/>
      </c>
      <c r="S32" s="79" t="str">
        <f aca="false">IF($C32="","",TRIM(IF(N($F32)&gt;5,"Layer &gt;5 mm: cloud limit shown only — layer limit must be reduced. ","")&amp;IF($H32="IIIC","Conductive dust (IIIC): check equipment group IIIC. ","")&amp;IF(IF(ISNUMBER($K32),$K32&lt;10,FALSE()),"Low MIE (&lt;10 mJ): sensitive to electrostatic ignition. ","")&amp;IF($E32="Poor","Poor housekeeping drives Zone 21 — improving cleaning lowers the zone. ","")))</f>
        <v/>
      </c>
    </row>
    <row r="33" customFormat="false" ht="15" hidden="false" customHeight="false" outlineLevel="0" collapsed="false">
      <c r="A33" s="56"/>
      <c r="B33" s="57"/>
      <c r="C33" s="56"/>
      <c r="D33" s="56"/>
      <c r="E33" s="56"/>
      <c r="F33" s="61"/>
      <c r="G33" s="59"/>
      <c r="H33" s="65" t="str">
        <f aca="false">IF($C33="","",IFERROR(INDEX(Dusts!$B$2:$B$40,MATCH($C33,Dusts!$A$2:$A$40,0)),"—"))</f>
        <v/>
      </c>
      <c r="I33" s="64" t="str">
        <f aca="false">IF($C33="","",IFERROR(INDEX(Dusts!$C$2:$C$40,MATCH($C33,Dusts!$A$2:$A$40,0)),"—"))</f>
        <v/>
      </c>
      <c r="J33" s="64" t="str">
        <f aca="false">IF($C33="","",IFERROR(INDEX(Dusts!$D$2:$D$40,MATCH($C33,Dusts!$A$2:$A$40,0)),"—"))</f>
        <v/>
      </c>
      <c r="K33" s="64" t="str">
        <f aca="false">IF($C33="","",IFERROR(INDEX(Dusts!$E$2:$E$40,MATCH($C33,Dusts!$A$2:$A$40,0)),"—"))</f>
        <v/>
      </c>
      <c r="L33" s="68" t="str">
        <f aca="false">IF($C33="","",IFERROR(IF($D33="Continuous",20,IF($D33="Primary",21,IF($D33="Secondary",22,99))),"—"))</f>
        <v/>
      </c>
      <c r="M33" s="68" t="str">
        <f aca="false">IF($C33="","",IFERROR(IF($E33="Poor",21,IF($E33="Fair",22,99)),"—"))</f>
        <v/>
      </c>
      <c r="N33" s="78" t="str">
        <f aca="false">IF($C33="","",IFERROR(IF(MIN($L33,$M33)=99,"Non-hazardous","Zone "&amp;MIN($L33,$M33)),"—"))</f>
        <v/>
      </c>
      <c r="O33" s="78" t="str">
        <f aca="false">IF($C33="","",IFERROR(IF($N33="Zone 20","Da",IF($N33="Zone 21","Db",IF($N33="Zone 22","Dc","None required"))),"—"))</f>
        <v/>
      </c>
      <c r="P33" s="80" t="str">
        <f aca="false">IF($C33="","",IFERROR(2/3*$I33,"—"))</f>
        <v/>
      </c>
      <c r="Q33" s="81" t="str">
        <f aca="false">IF($C33="","",IFERROR(IF(N($F33)&lt;=5,$J33-75,IF($F33&lt;=50,"Reduce — see IEC 60079-14 graph","Lab test required")),"—"))</f>
        <v/>
      </c>
      <c r="R33" s="82" t="str">
        <f aca="false">IF($C33="","",IFERROR(IF(ISNUMBER($Q33),MIN($P33,$Q33),$P33),"—"))</f>
        <v/>
      </c>
      <c r="S33" s="79" t="str">
        <f aca="false">IF($C33="","",TRIM(IF(N($F33)&gt;5,"Layer &gt;5 mm: cloud limit shown only — layer limit must be reduced. ","")&amp;IF($H33="IIIC","Conductive dust (IIIC): check equipment group IIIC. ","")&amp;IF(IF(ISNUMBER($K33),$K33&lt;10,FALSE()),"Low MIE (&lt;10 mJ): sensitive to electrostatic ignition. ","")&amp;IF($E33="Poor","Poor housekeeping drives Zone 21 — improving cleaning lowers the zone. ","")))</f>
        <v/>
      </c>
    </row>
    <row r="34" customFormat="false" ht="15" hidden="false" customHeight="false" outlineLevel="0" collapsed="false">
      <c r="A34" s="56"/>
      <c r="B34" s="57"/>
      <c r="C34" s="56"/>
      <c r="D34" s="56"/>
      <c r="E34" s="56"/>
      <c r="F34" s="61"/>
      <c r="G34" s="59"/>
      <c r="H34" s="65" t="str">
        <f aca="false">IF($C34="","",IFERROR(INDEX(Dusts!$B$2:$B$40,MATCH($C34,Dusts!$A$2:$A$40,0)),"—"))</f>
        <v/>
      </c>
      <c r="I34" s="64" t="str">
        <f aca="false">IF($C34="","",IFERROR(INDEX(Dusts!$C$2:$C$40,MATCH($C34,Dusts!$A$2:$A$40,0)),"—"))</f>
        <v/>
      </c>
      <c r="J34" s="64" t="str">
        <f aca="false">IF($C34="","",IFERROR(INDEX(Dusts!$D$2:$D$40,MATCH($C34,Dusts!$A$2:$A$40,0)),"—"))</f>
        <v/>
      </c>
      <c r="K34" s="64" t="str">
        <f aca="false">IF($C34="","",IFERROR(INDEX(Dusts!$E$2:$E$40,MATCH($C34,Dusts!$A$2:$A$40,0)),"—"))</f>
        <v/>
      </c>
      <c r="L34" s="68" t="str">
        <f aca="false">IF($C34="","",IFERROR(IF($D34="Continuous",20,IF($D34="Primary",21,IF($D34="Secondary",22,99))),"—"))</f>
        <v/>
      </c>
      <c r="M34" s="68" t="str">
        <f aca="false">IF($C34="","",IFERROR(IF($E34="Poor",21,IF($E34="Fair",22,99)),"—"))</f>
        <v/>
      </c>
      <c r="N34" s="78" t="str">
        <f aca="false">IF($C34="","",IFERROR(IF(MIN($L34,$M34)=99,"Non-hazardous","Zone "&amp;MIN($L34,$M34)),"—"))</f>
        <v/>
      </c>
      <c r="O34" s="78" t="str">
        <f aca="false">IF($C34="","",IFERROR(IF($N34="Zone 20","Da",IF($N34="Zone 21","Db",IF($N34="Zone 22","Dc","None required"))),"—"))</f>
        <v/>
      </c>
      <c r="P34" s="80" t="str">
        <f aca="false">IF($C34="","",IFERROR(2/3*$I34,"—"))</f>
        <v/>
      </c>
      <c r="Q34" s="81" t="str">
        <f aca="false">IF($C34="","",IFERROR(IF(N($F34)&lt;=5,$J34-75,IF($F34&lt;=50,"Reduce — see IEC 60079-14 graph","Lab test required")),"—"))</f>
        <v/>
      </c>
      <c r="R34" s="82" t="str">
        <f aca="false">IF($C34="","",IFERROR(IF(ISNUMBER($Q34),MIN($P34,$Q34),$P34),"—"))</f>
        <v/>
      </c>
      <c r="S34" s="79" t="str">
        <f aca="false">IF($C34="","",TRIM(IF(N($F34)&gt;5,"Layer &gt;5 mm: cloud limit shown only — layer limit must be reduced. ","")&amp;IF($H34="IIIC","Conductive dust (IIIC): check equipment group IIIC. ","")&amp;IF(IF(ISNUMBER($K34),$K34&lt;10,FALSE()),"Low MIE (&lt;10 mJ): sensitive to electrostatic ignition. ","")&amp;IF($E34="Poor","Poor housekeeping drives Zone 21 — improving cleaning lowers the zone. ","")))</f>
        <v/>
      </c>
    </row>
    <row r="35" customFormat="false" ht="15" hidden="false" customHeight="false" outlineLevel="0" collapsed="false">
      <c r="A35" s="56"/>
      <c r="B35" s="57"/>
      <c r="C35" s="56"/>
      <c r="D35" s="56"/>
      <c r="E35" s="56"/>
      <c r="F35" s="61"/>
      <c r="G35" s="59"/>
      <c r="H35" s="65" t="str">
        <f aca="false">IF($C35="","",IFERROR(INDEX(Dusts!$B$2:$B$40,MATCH($C35,Dusts!$A$2:$A$40,0)),"—"))</f>
        <v/>
      </c>
      <c r="I35" s="64" t="str">
        <f aca="false">IF($C35="","",IFERROR(INDEX(Dusts!$C$2:$C$40,MATCH($C35,Dusts!$A$2:$A$40,0)),"—"))</f>
        <v/>
      </c>
      <c r="J35" s="64" t="str">
        <f aca="false">IF($C35="","",IFERROR(INDEX(Dusts!$D$2:$D$40,MATCH($C35,Dusts!$A$2:$A$40,0)),"—"))</f>
        <v/>
      </c>
      <c r="K35" s="64" t="str">
        <f aca="false">IF($C35="","",IFERROR(INDEX(Dusts!$E$2:$E$40,MATCH($C35,Dusts!$A$2:$A$40,0)),"—"))</f>
        <v/>
      </c>
      <c r="L35" s="68" t="str">
        <f aca="false">IF($C35="","",IFERROR(IF($D35="Continuous",20,IF($D35="Primary",21,IF($D35="Secondary",22,99))),"—"))</f>
        <v/>
      </c>
      <c r="M35" s="68" t="str">
        <f aca="false">IF($C35="","",IFERROR(IF($E35="Poor",21,IF($E35="Fair",22,99)),"—"))</f>
        <v/>
      </c>
      <c r="N35" s="78" t="str">
        <f aca="false">IF($C35="","",IFERROR(IF(MIN($L35,$M35)=99,"Non-hazardous","Zone "&amp;MIN($L35,$M35)),"—"))</f>
        <v/>
      </c>
      <c r="O35" s="78" t="str">
        <f aca="false">IF($C35="","",IFERROR(IF($N35="Zone 20","Da",IF($N35="Zone 21","Db",IF($N35="Zone 22","Dc","None required"))),"—"))</f>
        <v/>
      </c>
      <c r="P35" s="80" t="str">
        <f aca="false">IF($C35="","",IFERROR(2/3*$I35,"—"))</f>
        <v/>
      </c>
      <c r="Q35" s="81" t="str">
        <f aca="false">IF($C35="","",IFERROR(IF(N($F35)&lt;=5,$J35-75,IF($F35&lt;=50,"Reduce — see IEC 60079-14 graph","Lab test required")),"—"))</f>
        <v/>
      </c>
      <c r="R35" s="82" t="str">
        <f aca="false">IF($C35="","",IFERROR(IF(ISNUMBER($Q35),MIN($P35,$Q35),$P35),"—"))</f>
        <v/>
      </c>
      <c r="S35" s="79" t="str">
        <f aca="false">IF($C35="","",TRIM(IF(N($F35)&gt;5,"Layer &gt;5 mm: cloud limit shown only — layer limit must be reduced. ","")&amp;IF($H35="IIIC","Conductive dust (IIIC): check equipment group IIIC. ","")&amp;IF(IF(ISNUMBER($K35),$K35&lt;10,FALSE()),"Low MIE (&lt;10 mJ): sensitive to electrostatic ignition. ","")&amp;IF($E35="Poor","Poor housekeeping drives Zone 21 — improving cleaning lowers the zone. ","")))</f>
        <v/>
      </c>
    </row>
    <row r="36" customFormat="false" ht="15" hidden="false" customHeight="false" outlineLevel="0" collapsed="false">
      <c r="A36" s="56"/>
      <c r="B36" s="57"/>
      <c r="C36" s="56"/>
      <c r="D36" s="56"/>
      <c r="E36" s="56"/>
      <c r="F36" s="61"/>
      <c r="G36" s="59"/>
      <c r="H36" s="65" t="str">
        <f aca="false">IF($C36="","",IFERROR(INDEX(Dusts!$B$2:$B$40,MATCH($C36,Dusts!$A$2:$A$40,0)),"—"))</f>
        <v/>
      </c>
      <c r="I36" s="64" t="str">
        <f aca="false">IF($C36="","",IFERROR(INDEX(Dusts!$C$2:$C$40,MATCH($C36,Dusts!$A$2:$A$40,0)),"—"))</f>
        <v/>
      </c>
      <c r="J36" s="64" t="str">
        <f aca="false">IF($C36="","",IFERROR(INDEX(Dusts!$D$2:$D$40,MATCH($C36,Dusts!$A$2:$A$40,0)),"—"))</f>
        <v/>
      </c>
      <c r="K36" s="64" t="str">
        <f aca="false">IF($C36="","",IFERROR(INDEX(Dusts!$E$2:$E$40,MATCH($C36,Dusts!$A$2:$A$40,0)),"—"))</f>
        <v/>
      </c>
      <c r="L36" s="68" t="str">
        <f aca="false">IF($C36="","",IFERROR(IF($D36="Continuous",20,IF($D36="Primary",21,IF($D36="Secondary",22,99))),"—"))</f>
        <v/>
      </c>
      <c r="M36" s="68" t="str">
        <f aca="false">IF($C36="","",IFERROR(IF($E36="Poor",21,IF($E36="Fair",22,99)),"—"))</f>
        <v/>
      </c>
      <c r="N36" s="78" t="str">
        <f aca="false">IF($C36="","",IFERROR(IF(MIN($L36,$M36)=99,"Non-hazardous","Zone "&amp;MIN($L36,$M36)),"—"))</f>
        <v/>
      </c>
      <c r="O36" s="78" t="str">
        <f aca="false">IF($C36="","",IFERROR(IF($N36="Zone 20","Da",IF($N36="Zone 21","Db",IF($N36="Zone 22","Dc","None required"))),"—"))</f>
        <v/>
      </c>
      <c r="P36" s="80" t="str">
        <f aca="false">IF($C36="","",IFERROR(2/3*$I36,"—"))</f>
        <v/>
      </c>
      <c r="Q36" s="81" t="str">
        <f aca="false">IF($C36="","",IFERROR(IF(N($F36)&lt;=5,$J36-75,IF($F36&lt;=50,"Reduce — see IEC 60079-14 graph","Lab test required")),"—"))</f>
        <v/>
      </c>
      <c r="R36" s="82" t="str">
        <f aca="false">IF($C36="","",IFERROR(IF(ISNUMBER($Q36),MIN($P36,$Q36),$P36),"—"))</f>
        <v/>
      </c>
      <c r="S36" s="79" t="str">
        <f aca="false">IF($C36="","",TRIM(IF(N($F36)&gt;5,"Layer &gt;5 mm: cloud limit shown only — layer limit must be reduced. ","")&amp;IF($H36="IIIC","Conductive dust (IIIC): check equipment group IIIC. ","")&amp;IF(IF(ISNUMBER($K36),$K36&lt;10,FALSE()),"Low MIE (&lt;10 mJ): sensitive to electrostatic ignition. ","")&amp;IF($E36="Poor","Poor housekeeping drives Zone 21 — improving cleaning lowers the zone. ","")))</f>
        <v/>
      </c>
    </row>
    <row r="37" customFormat="false" ht="15" hidden="false" customHeight="false" outlineLevel="0" collapsed="false">
      <c r="A37" s="56"/>
      <c r="B37" s="57"/>
      <c r="C37" s="56"/>
      <c r="D37" s="56"/>
      <c r="E37" s="56"/>
      <c r="F37" s="61"/>
      <c r="G37" s="59"/>
      <c r="H37" s="65" t="str">
        <f aca="false">IF($C37="","",IFERROR(INDEX(Dusts!$B$2:$B$40,MATCH($C37,Dusts!$A$2:$A$40,0)),"—"))</f>
        <v/>
      </c>
      <c r="I37" s="64" t="str">
        <f aca="false">IF($C37="","",IFERROR(INDEX(Dusts!$C$2:$C$40,MATCH($C37,Dusts!$A$2:$A$40,0)),"—"))</f>
        <v/>
      </c>
      <c r="J37" s="64" t="str">
        <f aca="false">IF($C37="","",IFERROR(INDEX(Dusts!$D$2:$D$40,MATCH($C37,Dusts!$A$2:$A$40,0)),"—"))</f>
        <v/>
      </c>
      <c r="K37" s="64" t="str">
        <f aca="false">IF($C37="","",IFERROR(INDEX(Dusts!$E$2:$E$40,MATCH($C37,Dusts!$A$2:$A$40,0)),"—"))</f>
        <v/>
      </c>
      <c r="L37" s="68" t="str">
        <f aca="false">IF($C37="","",IFERROR(IF($D37="Continuous",20,IF($D37="Primary",21,IF($D37="Secondary",22,99))),"—"))</f>
        <v/>
      </c>
      <c r="M37" s="68" t="str">
        <f aca="false">IF($C37="","",IFERROR(IF($E37="Poor",21,IF($E37="Fair",22,99)),"—"))</f>
        <v/>
      </c>
      <c r="N37" s="78" t="str">
        <f aca="false">IF($C37="","",IFERROR(IF(MIN($L37,$M37)=99,"Non-hazardous","Zone "&amp;MIN($L37,$M37)),"—"))</f>
        <v/>
      </c>
      <c r="O37" s="78" t="str">
        <f aca="false">IF($C37="","",IFERROR(IF($N37="Zone 20","Da",IF($N37="Zone 21","Db",IF($N37="Zone 22","Dc","None required"))),"—"))</f>
        <v/>
      </c>
      <c r="P37" s="80" t="str">
        <f aca="false">IF($C37="","",IFERROR(2/3*$I37,"—"))</f>
        <v/>
      </c>
      <c r="Q37" s="81" t="str">
        <f aca="false">IF($C37="","",IFERROR(IF(N($F37)&lt;=5,$J37-75,IF($F37&lt;=50,"Reduce — see IEC 60079-14 graph","Lab test required")),"—"))</f>
        <v/>
      </c>
      <c r="R37" s="82" t="str">
        <f aca="false">IF($C37="","",IFERROR(IF(ISNUMBER($Q37),MIN($P37,$Q37),$P37),"—"))</f>
        <v/>
      </c>
      <c r="S37" s="79" t="str">
        <f aca="false">IF($C37="","",TRIM(IF(N($F37)&gt;5,"Layer &gt;5 mm: cloud limit shown only — layer limit must be reduced. ","")&amp;IF($H37="IIIC","Conductive dust (IIIC): check equipment group IIIC. ","")&amp;IF(IF(ISNUMBER($K37),$K37&lt;10,FALSE()),"Low MIE (&lt;10 mJ): sensitive to electrostatic ignition. ","")&amp;IF($E37="Poor","Poor housekeeping drives Zone 21 — improving cleaning lowers the zone. ","")))</f>
        <v/>
      </c>
    </row>
    <row r="38" customFormat="false" ht="15" hidden="false" customHeight="false" outlineLevel="0" collapsed="false">
      <c r="A38" s="56"/>
      <c r="B38" s="57"/>
      <c r="C38" s="56"/>
      <c r="D38" s="56"/>
      <c r="E38" s="56"/>
      <c r="F38" s="61"/>
      <c r="G38" s="59"/>
      <c r="H38" s="65" t="str">
        <f aca="false">IF($C38="","",IFERROR(INDEX(Dusts!$B$2:$B$40,MATCH($C38,Dusts!$A$2:$A$40,0)),"—"))</f>
        <v/>
      </c>
      <c r="I38" s="64" t="str">
        <f aca="false">IF($C38="","",IFERROR(INDEX(Dusts!$C$2:$C$40,MATCH($C38,Dusts!$A$2:$A$40,0)),"—"))</f>
        <v/>
      </c>
      <c r="J38" s="64" t="str">
        <f aca="false">IF($C38="","",IFERROR(INDEX(Dusts!$D$2:$D$40,MATCH($C38,Dusts!$A$2:$A$40,0)),"—"))</f>
        <v/>
      </c>
      <c r="K38" s="64" t="str">
        <f aca="false">IF($C38="","",IFERROR(INDEX(Dusts!$E$2:$E$40,MATCH($C38,Dusts!$A$2:$A$40,0)),"—"))</f>
        <v/>
      </c>
      <c r="L38" s="68" t="str">
        <f aca="false">IF($C38="","",IFERROR(IF($D38="Continuous",20,IF($D38="Primary",21,IF($D38="Secondary",22,99))),"—"))</f>
        <v/>
      </c>
      <c r="M38" s="68" t="str">
        <f aca="false">IF($C38="","",IFERROR(IF($E38="Poor",21,IF($E38="Fair",22,99)),"—"))</f>
        <v/>
      </c>
      <c r="N38" s="78" t="str">
        <f aca="false">IF($C38="","",IFERROR(IF(MIN($L38,$M38)=99,"Non-hazardous","Zone "&amp;MIN($L38,$M38)),"—"))</f>
        <v/>
      </c>
      <c r="O38" s="78" t="str">
        <f aca="false">IF($C38="","",IFERROR(IF($N38="Zone 20","Da",IF($N38="Zone 21","Db",IF($N38="Zone 22","Dc","None required"))),"—"))</f>
        <v/>
      </c>
      <c r="P38" s="80" t="str">
        <f aca="false">IF($C38="","",IFERROR(2/3*$I38,"—"))</f>
        <v/>
      </c>
      <c r="Q38" s="81" t="str">
        <f aca="false">IF($C38="","",IFERROR(IF(N($F38)&lt;=5,$J38-75,IF($F38&lt;=50,"Reduce — see IEC 60079-14 graph","Lab test required")),"—"))</f>
        <v/>
      </c>
      <c r="R38" s="82" t="str">
        <f aca="false">IF($C38="","",IFERROR(IF(ISNUMBER($Q38),MIN($P38,$Q38),$P38),"—"))</f>
        <v/>
      </c>
      <c r="S38" s="79" t="str">
        <f aca="false">IF($C38="","",TRIM(IF(N($F38)&gt;5,"Layer &gt;5 mm: cloud limit shown only — layer limit must be reduced. ","")&amp;IF($H38="IIIC","Conductive dust (IIIC): check equipment group IIIC. ","")&amp;IF(IF(ISNUMBER($K38),$K38&lt;10,FALSE()),"Low MIE (&lt;10 mJ): sensitive to electrostatic ignition. ","")&amp;IF($E38="Poor","Poor housekeeping drives Zone 21 — improving cleaning lowers the zone. ","")))</f>
        <v/>
      </c>
    </row>
    <row r="39" customFormat="false" ht="15" hidden="false" customHeight="false" outlineLevel="0" collapsed="false">
      <c r="A39" s="56"/>
      <c r="B39" s="57"/>
      <c r="C39" s="56"/>
      <c r="D39" s="56"/>
      <c r="E39" s="56"/>
      <c r="F39" s="61"/>
      <c r="G39" s="59"/>
      <c r="H39" s="65" t="str">
        <f aca="false">IF($C39="","",IFERROR(INDEX(Dusts!$B$2:$B$40,MATCH($C39,Dusts!$A$2:$A$40,0)),"—"))</f>
        <v/>
      </c>
      <c r="I39" s="64" t="str">
        <f aca="false">IF($C39="","",IFERROR(INDEX(Dusts!$C$2:$C$40,MATCH($C39,Dusts!$A$2:$A$40,0)),"—"))</f>
        <v/>
      </c>
      <c r="J39" s="64" t="str">
        <f aca="false">IF($C39="","",IFERROR(INDEX(Dusts!$D$2:$D$40,MATCH($C39,Dusts!$A$2:$A$40,0)),"—"))</f>
        <v/>
      </c>
      <c r="K39" s="64" t="str">
        <f aca="false">IF($C39="","",IFERROR(INDEX(Dusts!$E$2:$E$40,MATCH($C39,Dusts!$A$2:$A$40,0)),"—"))</f>
        <v/>
      </c>
      <c r="L39" s="68" t="str">
        <f aca="false">IF($C39="","",IFERROR(IF($D39="Continuous",20,IF($D39="Primary",21,IF($D39="Secondary",22,99))),"—"))</f>
        <v/>
      </c>
      <c r="M39" s="68" t="str">
        <f aca="false">IF($C39="","",IFERROR(IF($E39="Poor",21,IF($E39="Fair",22,99)),"—"))</f>
        <v/>
      </c>
      <c r="N39" s="78" t="str">
        <f aca="false">IF($C39="","",IFERROR(IF(MIN($L39,$M39)=99,"Non-hazardous","Zone "&amp;MIN($L39,$M39)),"—"))</f>
        <v/>
      </c>
      <c r="O39" s="78" t="str">
        <f aca="false">IF($C39="","",IFERROR(IF($N39="Zone 20","Da",IF($N39="Zone 21","Db",IF($N39="Zone 22","Dc","None required"))),"—"))</f>
        <v/>
      </c>
      <c r="P39" s="80" t="str">
        <f aca="false">IF($C39="","",IFERROR(2/3*$I39,"—"))</f>
        <v/>
      </c>
      <c r="Q39" s="81" t="str">
        <f aca="false">IF($C39="","",IFERROR(IF(N($F39)&lt;=5,$J39-75,IF($F39&lt;=50,"Reduce — see IEC 60079-14 graph","Lab test required")),"—"))</f>
        <v/>
      </c>
      <c r="R39" s="82" t="str">
        <f aca="false">IF($C39="","",IFERROR(IF(ISNUMBER($Q39),MIN($P39,$Q39),$P39),"—"))</f>
        <v/>
      </c>
      <c r="S39" s="79" t="str">
        <f aca="false">IF($C39="","",TRIM(IF(N($F39)&gt;5,"Layer &gt;5 mm: cloud limit shown only — layer limit must be reduced. ","")&amp;IF($H39="IIIC","Conductive dust (IIIC): check equipment group IIIC. ","")&amp;IF(IF(ISNUMBER($K39),$K39&lt;10,FALSE()),"Low MIE (&lt;10 mJ): sensitive to electrostatic ignition. ","")&amp;IF($E39="Poor","Poor housekeeping drives Zone 21 — improving cleaning lowers the zone. ","")))</f>
        <v/>
      </c>
    </row>
    <row r="40" customFormat="false" ht="15" hidden="false" customHeight="false" outlineLevel="0" collapsed="false">
      <c r="A40" s="56"/>
      <c r="B40" s="57"/>
      <c r="C40" s="56"/>
      <c r="D40" s="56"/>
      <c r="E40" s="56"/>
      <c r="F40" s="61"/>
      <c r="G40" s="59"/>
      <c r="H40" s="65" t="str">
        <f aca="false">IF($C40="","",IFERROR(INDEX(Dusts!$B$2:$B$40,MATCH($C40,Dusts!$A$2:$A$40,0)),"—"))</f>
        <v/>
      </c>
      <c r="I40" s="64" t="str">
        <f aca="false">IF($C40="","",IFERROR(INDEX(Dusts!$C$2:$C$40,MATCH($C40,Dusts!$A$2:$A$40,0)),"—"))</f>
        <v/>
      </c>
      <c r="J40" s="64" t="str">
        <f aca="false">IF($C40="","",IFERROR(INDEX(Dusts!$D$2:$D$40,MATCH($C40,Dusts!$A$2:$A$40,0)),"—"))</f>
        <v/>
      </c>
      <c r="K40" s="64" t="str">
        <f aca="false">IF($C40="","",IFERROR(INDEX(Dusts!$E$2:$E$40,MATCH($C40,Dusts!$A$2:$A$40,0)),"—"))</f>
        <v/>
      </c>
      <c r="L40" s="68" t="str">
        <f aca="false">IF($C40="","",IFERROR(IF($D40="Continuous",20,IF($D40="Primary",21,IF($D40="Secondary",22,99))),"—"))</f>
        <v/>
      </c>
      <c r="M40" s="68" t="str">
        <f aca="false">IF($C40="","",IFERROR(IF($E40="Poor",21,IF($E40="Fair",22,99)),"—"))</f>
        <v/>
      </c>
      <c r="N40" s="78" t="str">
        <f aca="false">IF($C40="","",IFERROR(IF(MIN($L40,$M40)=99,"Non-hazardous","Zone "&amp;MIN($L40,$M40)),"—"))</f>
        <v/>
      </c>
      <c r="O40" s="78" t="str">
        <f aca="false">IF($C40="","",IFERROR(IF($N40="Zone 20","Da",IF($N40="Zone 21","Db",IF($N40="Zone 22","Dc","None required"))),"—"))</f>
        <v/>
      </c>
      <c r="P40" s="80" t="str">
        <f aca="false">IF($C40="","",IFERROR(2/3*$I40,"—"))</f>
        <v/>
      </c>
      <c r="Q40" s="81" t="str">
        <f aca="false">IF($C40="","",IFERROR(IF(N($F40)&lt;=5,$J40-75,IF($F40&lt;=50,"Reduce — see IEC 60079-14 graph","Lab test required")),"—"))</f>
        <v/>
      </c>
      <c r="R40" s="82" t="str">
        <f aca="false">IF($C40="","",IFERROR(IF(ISNUMBER($Q40),MIN($P40,$Q40),$P40),"—"))</f>
        <v/>
      </c>
      <c r="S40" s="79" t="str">
        <f aca="false">IF($C40="","",TRIM(IF(N($F40)&gt;5,"Layer &gt;5 mm: cloud limit shown only — layer limit must be reduced. ","")&amp;IF($H40="IIIC","Conductive dust (IIIC): check equipment group IIIC. ","")&amp;IF(IF(ISNUMBER($K40),$K40&lt;10,FALSE()),"Low MIE (&lt;10 mJ): sensitive to electrostatic ignition. ","")&amp;IF($E40="Poor","Poor housekeeping drives Zone 21 — improving cleaning lowers the zone. ","")))</f>
        <v/>
      </c>
    </row>
    <row r="41" customFormat="false" ht="15" hidden="false" customHeight="false" outlineLevel="0" collapsed="false">
      <c r="A41" s="56"/>
      <c r="B41" s="57"/>
      <c r="C41" s="56"/>
      <c r="D41" s="56"/>
      <c r="E41" s="56"/>
      <c r="F41" s="61"/>
      <c r="G41" s="59"/>
      <c r="H41" s="65" t="str">
        <f aca="false">IF($C41="","",IFERROR(INDEX(Dusts!$B$2:$B$40,MATCH($C41,Dusts!$A$2:$A$40,0)),"—"))</f>
        <v/>
      </c>
      <c r="I41" s="64" t="str">
        <f aca="false">IF($C41="","",IFERROR(INDEX(Dusts!$C$2:$C$40,MATCH($C41,Dusts!$A$2:$A$40,0)),"—"))</f>
        <v/>
      </c>
      <c r="J41" s="64" t="str">
        <f aca="false">IF($C41="","",IFERROR(INDEX(Dusts!$D$2:$D$40,MATCH($C41,Dusts!$A$2:$A$40,0)),"—"))</f>
        <v/>
      </c>
      <c r="K41" s="64" t="str">
        <f aca="false">IF($C41="","",IFERROR(INDEX(Dusts!$E$2:$E$40,MATCH($C41,Dusts!$A$2:$A$40,0)),"—"))</f>
        <v/>
      </c>
      <c r="L41" s="68" t="str">
        <f aca="false">IF($C41="","",IFERROR(IF($D41="Continuous",20,IF($D41="Primary",21,IF($D41="Secondary",22,99))),"—"))</f>
        <v/>
      </c>
      <c r="M41" s="68" t="str">
        <f aca="false">IF($C41="","",IFERROR(IF($E41="Poor",21,IF($E41="Fair",22,99)),"—"))</f>
        <v/>
      </c>
      <c r="N41" s="78" t="str">
        <f aca="false">IF($C41="","",IFERROR(IF(MIN($L41,$M41)=99,"Non-hazardous","Zone "&amp;MIN($L41,$M41)),"—"))</f>
        <v/>
      </c>
      <c r="O41" s="78" t="str">
        <f aca="false">IF($C41="","",IFERROR(IF($N41="Zone 20","Da",IF($N41="Zone 21","Db",IF($N41="Zone 22","Dc","None required"))),"—"))</f>
        <v/>
      </c>
      <c r="P41" s="80" t="str">
        <f aca="false">IF($C41="","",IFERROR(2/3*$I41,"—"))</f>
        <v/>
      </c>
      <c r="Q41" s="81" t="str">
        <f aca="false">IF($C41="","",IFERROR(IF(N($F41)&lt;=5,$J41-75,IF($F41&lt;=50,"Reduce — see IEC 60079-14 graph","Lab test required")),"—"))</f>
        <v/>
      </c>
      <c r="R41" s="82" t="str">
        <f aca="false">IF($C41="","",IFERROR(IF(ISNUMBER($Q41),MIN($P41,$Q41),$P41),"—"))</f>
        <v/>
      </c>
      <c r="S41" s="79" t="str">
        <f aca="false">IF($C41="","",TRIM(IF(N($F41)&gt;5,"Layer &gt;5 mm: cloud limit shown only — layer limit must be reduced. ","")&amp;IF($H41="IIIC","Conductive dust (IIIC): check equipment group IIIC. ","")&amp;IF(IF(ISNUMBER($K41),$K41&lt;10,FALSE()),"Low MIE (&lt;10 mJ): sensitive to electrostatic ignition. ","")&amp;IF($E41="Poor","Poor housekeeping drives Zone 21 — improving cleaning lowers the zone. ","")))</f>
        <v/>
      </c>
    </row>
    <row r="42" customFormat="false" ht="15" hidden="false" customHeight="false" outlineLevel="0" collapsed="false">
      <c r="A42" s="56"/>
      <c r="B42" s="57"/>
      <c r="C42" s="56"/>
      <c r="D42" s="56"/>
      <c r="E42" s="56"/>
      <c r="F42" s="61"/>
      <c r="G42" s="59"/>
      <c r="H42" s="65" t="str">
        <f aca="false">IF($C42="","",IFERROR(INDEX(Dusts!$B$2:$B$40,MATCH($C42,Dusts!$A$2:$A$40,0)),"—"))</f>
        <v/>
      </c>
      <c r="I42" s="64" t="str">
        <f aca="false">IF($C42="","",IFERROR(INDEX(Dusts!$C$2:$C$40,MATCH($C42,Dusts!$A$2:$A$40,0)),"—"))</f>
        <v/>
      </c>
      <c r="J42" s="64" t="str">
        <f aca="false">IF($C42="","",IFERROR(INDEX(Dusts!$D$2:$D$40,MATCH($C42,Dusts!$A$2:$A$40,0)),"—"))</f>
        <v/>
      </c>
      <c r="K42" s="64" t="str">
        <f aca="false">IF($C42="","",IFERROR(INDEX(Dusts!$E$2:$E$40,MATCH($C42,Dusts!$A$2:$A$40,0)),"—"))</f>
        <v/>
      </c>
      <c r="L42" s="68" t="str">
        <f aca="false">IF($C42="","",IFERROR(IF($D42="Continuous",20,IF($D42="Primary",21,IF($D42="Secondary",22,99))),"—"))</f>
        <v/>
      </c>
      <c r="M42" s="68" t="str">
        <f aca="false">IF($C42="","",IFERROR(IF($E42="Poor",21,IF($E42="Fair",22,99)),"—"))</f>
        <v/>
      </c>
      <c r="N42" s="78" t="str">
        <f aca="false">IF($C42="","",IFERROR(IF(MIN($L42,$M42)=99,"Non-hazardous","Zone "&amp;MIN($L42,$M42)),"—"))</f>
        <v/>
      </c>
      <c r="O42" s="78" t="str">
        <f aca="false">IF($C42="","",IFERROR(IF($N42="Zone 20","Da",IF($N42="Zone 21","Db",IF($N42="Zone 22","Dc","None required"))),"—"))</f>
        <v/>
      </c>
      <c r="P42" s="80" t="str">
        <f aca="false">IF($C42="","",IFERROR(2/3*$I42,"—"))</f>
        <v/>
      </c>
      <c r="Q42" s="81" t="str">
        <f aca="false">IF($C42="","",IFERROR(IF(N($F42)&lt;=5,$J42-75,IF($F42&lt;=50,"Reduce — see IEC 60079-14 graph","Lab test required")),"—"))</f>
        <v/>
      </c>
      <c r="R42" s="82" t="str">
        <f aca="false">IF($C42="","",IFERROR(IF(ISNUMBER($Q42),MIN($P42,$Q42),$P42),"—"))</f>
        <v/>
      </c>
      <c r="S42" s="79" t="str">
        <f aca="false">IF($C42="","",TRIM(IF(N($F42)&gt;5,"Layer &gt;5 mm: cloud limit shown only — layer limit must be reduced. ","")&amp;IF($H42="IIIC","Conductive dust (IIIC): check equipment group IIIC. ","")&amp;IF(IF(ISNUMBER($K42),$K42&lt;10,FALSE()),"Low MIE (&lt;10 mJ): sensitive to electrostatic ignition. ","")&amp;IF($E42="Poor","Poor housekeeping drives Zone 21 — improving cleaning lowers the zone. ","")))</f>
        <v/>
      </c>
    </row>
    <row r="43" customFormat="false" ht="15" hidden="false" customHeight="false" outlineLevel="0" collapsed="false">
      <c r="A43" s="56"/>
      <c r="B43" s="57"/>
      <c r="C43" s="56"/>
      <c r="D43" s="56"/>
      <c r="E43" s="56"/>
      <c r="F43" s="61"/>
      <c r="G43" s="59"/>
      <c r="H43" s="65" t="str">
        <f aca="false">IF($C43="","",IFERROR(INDEX(Dusts!$B$2:$B$40,MATCH($C43,Dusts!$A$2:$A$40,0)),"—"))</f>
        <v/>
      </c>
      <c r="I43" s="64" t="str">
        <f aca="false">IF($C43="","",IFERROR(INDEX(Dusts!$C$2:$C$40,MATCH($C43,Dusts!$A$2:$A$40,0)),"—"))</f>
        <v/>
      </c>
      <c r="J43" s="64" t="str">
        <f aca="false">IF($C43="","",IFERROR(INDEX(Dusts!$D$2:$D$40,MATCH($C43,Dusts!$A$2:$A$40,0)),"—"))</f>
        <v/>
      </c>
      <c r="K43" s="64" t="str">
        <f aca="false">IF($C43="","",IFERROR(INDEX(Dusts!$E$2:$E$40,MATCH($C43,Dusts!$A$2:$A$40,0)),"—"))</f>
        <v/>
      </c>
      <c r="L43" s="68" t="str">
        <f aca="false">IF($C43="","",IFERROR(IF($D43="Continuous",20,IF($D43="Primary",21,IF($D43="Secondary",22,99))),"—"))</f>
        <v/>
      </c>
      <c r="M43" s="68" t="str">
        <f aca="false">IF($C43="","",IFERROR(IF($E43="Poor",21,IF($E43="Fair",22,99)),"—"))</f>
        <v/>
      </c>
      <c r="N43" s="78" t="str">
        <f aca="false">IF($C43="","",IFERROR(IF(MIN($L43,$M43)=99,"Non-hazardous","Zone "&amp;MIN($L43,$M43)),"—"))</f>
        <v/>
      </c>
      <c r="O43" s="78" t="str">
        <f aca="false">IF($C43="","",IFERROR(IF($N43="Zone 20","Da",IF($N43="Zone 21","Db",IF($N43="Zone 22","Dc","None required"))),"—"))</f>
        <v/>
      </c>
      <c r="P43" s="80" t="str">
        <f aca="false">IF($C43="","",IFERROR(2/3*$I43,"—"))</f>
        <v/>
      </c>
      <c r="Q43" s="81" t="str">
        <f aca="false">IF($C43="","",IFERROR(IF(N($F43)&lt;=5,$J43-75,IF($F43&lt;=50,"Reduce — see IEC 60079-14 graph","Lab test required")),"—"))</f>
        <v/>
      </c>
      <c r="R43" s="82" t="str">
        <f aca="false">IF($C43="","",IFERROR(IF(ISNUMBER($Q43),MIN($P43,$Q43),$P43),"—"))</f>
        <v/>
      </c>
      <c r="S43" s="79" t="str">
        <f aca="false">IF($C43="","",TRIM(IF(N($F43)&gt;5,"Layer &gt;5 mm: cloud limit shown only — layer limit must be reduced. ","")&amp;IF($H43="IIIC","Conductive dust (IIIC): check equipment group IIIC. ","")&amp;IF(IF(ISNUMBER($K43),$K43&lt;10,FALSE()),"Low MIE (&lt;10 mJ): sensitive to electrostatic ignition. ","")&amp;IF($E43="Poor","Poor housekeeping drives Zone 21 — improving cleaning lowers the zone. ","")))</f>
        <v/>
      </c>
    </row>
    <row r="44" customFormat="false" ht="15" hidden="false" customHeight="false" outlineLevel="0" collapsed="false">
      <c r="A44" s="56"/>
      <c r="B44" s="57"/>
      <c r="C44" s="56"/>
      <c r="D44" s="56"/>
      <c r="E44" s="56"/>
      <c r="F44" s="61"/>
      <c r="G44" s="59"/>
      <c r="H44" s="65" t="str">
        <f aca="false">IF($C44="","",IFERROR(INDEX(Dusts!$B$2:$B$40,MATCH($C44,Dusts!$A$2:$A$40,0)),"—"))</f>
        <v/>
      </c>
      <c r="I44" s="64" t="str">
        <f aca="false">IF($C44="","",IFERROR(INDEX(Dusts!$C$2:$C$40,MATCH($C44,Dusts!$A$2:$A$40,0)),"—"))</f>
        <v/>
      </c>
      <c r="J44" s="64" t="str">
        <f aca="false">IF($C44="","",IFERROR(INDEX(Dusts!$D$2:$D$40,MATCH($C44,Dusts!$A$2:$A$40,0)),"—"))</f>
        <v/>
      </c>
      <c r="K44" s="64" t="str">
        <f aca="false">IF($C44="","",IFERROR(INDEX(Dusts!$E$2:$E$40,MATCH($C44,Dusts!$A$2:$A$40,0)),"—"))</f>
        <v/>
      </c>
      <c r="L44" s="68" t="str">
        <f aca="false">IF($C44="","",IFERROR(IF($D44="Continuous",20,IF($D44="Primary",21,IF($D44="Secondary",22,99))),"—"))</f>
        <v/>
      </c>
      <c r="M44" s="68" t="str">
        <f aca="false">IF($C44="","",IFERROR(IF($E44="Poor",21,IF($E44="Fair",22,99)),"—"))</f>
        <v/>
      </c>
      <c r="N44" s="78" t="str">
        <f aca="false">IF($C44="","",IFERROR(IF(MIN($L44,$M44)=99,"Non-hazardous","Zone "&amp;MIN($L44,$M44)),"—"))</f>
        <v/>
      </c>
      <c r="O44" s="78" t="str">
        <f aca="false">IF($C44="","",IFERROR(IF($N44="Zone 20","Da",IF($N44="Zone 21","Db",IF($N44="Zone 22","Dc","None required"))),"—"))</f>
        <v/>
      </c>
      <c r="P44" s="80" t="str">
        <f aca="false">IF($C44="","",IFERROR(2/3*$I44,"—"))</f>
        <v/>
      </c>
      <c r="Q44" s="81" t="str">
        <f aca="false">IF($C44="","",IFERROR(IF(N($F44)&lt;=5,$J44-75,IF($F44&lt;=50,"Reduce — see IEC 60079-14 graph","Lab test required")),"—"))</f>
        <v/>
      </c>
      <c r="R44" s="82" t="str">
        <f aca="false">IF($C44="","",IFERROR(IF(ISNUMBER($Q44),MIN($P44,$Q44),$P44),"—"))</f>
        <v/>
      </c>
      <c r="S44" s="79" t="str">
        <f aca="false">IF($C44="","",TRIM(IF(N($F44)&gt;5,"Layer &gt;5 mm: cloud limit shown only — layer limit must be reduced. ","")&amp;IF($H44="IIIC","Conductive dust (IIIC): check equipment group IIIC. ","")&amp;IF(IF(ISNUMBER($K44),$K44&lt;10,FALSE()),"Low MIE (&lt;10 mJ): sensitive to electrostatic ignition. ","")&amp;IF($E44="Poor","Poor housekeeping drives Zone 21 — improving cleaning lowers the zone. ","")))</f>
        <v/>
      </c>
    </row>
    <row r="45" customFormat="false" ht="15" hidden="false" customHeight="false" outlineLevel="0" collapsed="false">
      <c r="A45" s="56"/>
      <c r="B45" s="57"/>
      <c r="C45" s="56"/>
      <c r="D45" s="56"/>
      <c r="E45" s="56"/>
      <c r="F45" s="61"/>
      <c r="G45" s="59"/>
      <c r="H45" s="65" t="str">
        <f aca="false">IF($C45="","",IFERROR(INDEX(Dusts!$B$2:$B$40,MATCH($C45,Dusts!$A$2:$A$40,0)),"—"))</f>
        <v/>
      </c>
      <c r="I45" s="64" t="str">
        <f aca="false">IF($C45="","",IFERROR(INDEX(Dusts!$C$2:$C$40,MATCH($C45,Dusts!$A$2:$A$40,0)),"—"))</f>
        <v/>
      </c>
      <c r="J45" s="64" t="str">
        <f aca="false">IF($C45="","",IFERROR(INDEX(Dusts!$D$2:$D$40,MATCH($C45,Dusts!$A$2:$A$40,0)),"—"))</f>
        <v/>
      </c>
      <c r="K45" s="64" t="str">
        <f aca="false">IF($C45="","",IFERROR(INDEX(Dusts!$E$2:$E$40,MATCH($C45,Dusts!$A$2:$A$40,0)),"—"))</f>
        <v/>
      </c>
      <c r="L45" s="68" t="str">
        <f aca="false">IF($C45="","",IFERROR(IF($D45="Continuous",20,IF($D45="Primary",21,IF($D45="Secondary",22,99))),"—"))</f>
        <v/>
      </c>
      <c r="M45" s="68" t="str">
        <f aca="false">IF($C45="","",IFERROR(IF($E45="Poor",21,IF($E45="Fair",22,99)),"—"))</f>
        <v/>
      </c>
      <c r="N45" s="78" t="str">
        <f aca="false">IF($C45="","",IFERROR(IF(MIN($L45,$M45)=99,"Non-hazardous","Zone "&amp;MIN($L45,$M45)),"—"))</f>
        <v/>
      </c>
      <c r="O45" s="78" t="str">
        <f aca="false">IF($C45="","",IFERROR(IF($N45="Zone 20","Da",IF($N45="Zone 21","Db",IF($N45="Zone 22","Dc","None required"))),"—"))</f>
        <v/>
      </c>
      <c r="P45" s="80" t="str">
        <f aca="false">IF($C45="","",IFERROR(2/3*$I45,"—"))</f>
        <v/>
      </c>
      <c r="Q45" s="81" t="str">
        <f aca="false">IF($C45="","",IFERROR(IF(N($F45)&lt;=5,$J45-75,IF($F45&lt;=50,"Reduce — see IEC 60079-14 graph","Lab test required")),"—"))</f>
        <v/>
      </c>
      <c r="R45" s="82" t="str">
        <f aca="false">IF($C45="","",IFERROR(IF(ISNUMBER($Q45),MIN($P45,$Q45),$P45),"—"))</f>
        <v/>
      </c>
      <c r="S45" s="79" t="str">
        <f aca="false">IF($C45="","",TRIM(IF(N($F45)&gt;5,"Layer &gt;5 mm: cloud limit shown only — layer limit must be reduced. ","")&amp;IF($H45="IIIC","Conductive dust (IIIC): check equipment group IIIC. ","")&amp;IF(IF(ISNUMBER($K45),$K45&lt;10,FALSE()),"Low MIE (&lt;10 mJ): sensitive to electrostatic ignition. ","")&amp;IF($E45="Poor","Poor housekeeping drives Zone 21 — improving cleaning lowers the zone. ","")))</f>
        <v/>
      </c>
    </row>
  </sheetData>
  <conditionalFormatting sqref="N6:N45">
    <cfRule type="expression" priority="2" aboveAverage="0" equalAverage="0" bottom="0" percent="0" rank="0" text="" dxfId="1">
      <formula>$N6="Zone 20"</formula>
    </cfRule>
    <cfRule type="expression" priority="3" aboveAverage="0" equalAverage="0" bottom="0" percent="0" rank="0" text="" dxfId="2">
      <formula>$N6="Zone 21"</formula>
    </cfRule>
    <cfRule type="expression" priority="4" aboveAverage="0" equalAverage="0" bottom="0" percent="0" rank="0" text="" dxfId="3">
      <formula>$N6="Zone 22"</formula>
    </cfRule>
    <cfRule type="expression" priority="5" aboveAverage="0" equalAverage="0" bottom="0" percent="0" rank="0" text="" dxfId="0">
      <formula>$N6="Non-hazardous"</formula>
    </cfRule>
  </conditionalFormatting>
  <dataValidations count="3">
    <dataValidation allowBlank="true" errorStyle="stop" operator="between" showDropDown="false" showErrorMessage="false" showInputMessage="false" sqref="C6:C45" type="list">
      <formula1>Dusts!$A$2:$A$40</formula1>
      <formula2>0</formula2>
    </dataValidation>
    <dataValidation allowBlank="true" errorStyle="stop" operator="between" showDropDown="false" showErrorMessage="false" showInputMessage="false" sqref="D6:D45" type="list">
      <formula1>"Continuous,Primary,Secondary"</formula1>
      <formula2>0</formula2>
    </dataValidation>
    <dataValidation allowBlank="true" errorStyle="stop" operator="between" showDropDown="false" showErrorMessage="false" showInputMessage="false" sqref="E6:E45" type="list">
      <formula1>"Good,Fair,Poor"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6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2"/>
    <col collapsed="false" customWidth="true" hidden="false" outlineLevel="0" max="5" min="4" style="0" width="9"/>
    <col collapsed="false" customWidth="true" hidden="false" outlineLevel="0" max="6" min="6" style="0" width="10"/>
    <col collapsed="false" customWidth="true" hidden="false" outlineLevel="0" max="7" min="7" style="0" width="12"/>
    <col collapsed="false" customWidth="true" hidden="false" outlineLevel="0" max="8" min="8" style="0" width="11"/>
    <col collapsed="false" customWidth="true" hidden="false" outlineLevel="0" max="9" min="9" style="0" width="10"/>
    <col collapsed="false" customWidth="true" hidden="false" outlineLevel="0" max="10" min="10" style="0" width="12"/>
    <col collapsed="false" customWidth="true" hidden="false" outlineLevel="0" max="11" min="11" style="0" width="9"/>
    <col collapsed="false" customWidth="true" hidden="false" outlineLevel="0" max="14" min="12" style="0" width="10"/>
    <col collapsed="false" customWidth="true" hidden="false" outlineLevel="0" max="15" min="15" style="0" width="40"/>
    <col collapsed="false" customWidth="true" hidden="false" outlineLevel="0" max="21" min="17" style="0" width="14"/>
  </cols>
  <sheetData>
    <row r="1" customFormat="false" ht="42" hidden="false" customHeight="true" outlineLevel="0" collapsed="false">
      <c r="A1" s="11" t="s">
        <v>4</v>
      </c>
      <c r="B1" s="11" t="s">
        <v>76</v>
      </c>
      <c r="C1" s="11" t="s">
        <v>77</v>
      </c>
      <c r="D1" s="11" t="s">
        <v>78</v>
      </c>
      <c r="E1" s="11" t="s">
        <v>206</v>
      </c>
      <c r="F1" s="11" t="s">
        <v>207</v>
      </c>
      <c r="G1" s="11" t="s">
        <v>80</v>
      </c>
      <c r="H1" s="11" t="s">
        <v>81</v>
      </c>
      <c r="I1" s="11" t="s">
        <v>82</v>
      </c>
      <c r="J1" s="11" t="s">
        <v>208</v>
      </c>
      <c r="K1" s="11" t="s">
        <v>84</v>
      </c>
      <c r="L1" s="11" t="s">
        <v>85</v>
      </c>
      <c r="M1" s="11" t="s">
        <v>86</v>
      </c>
      <c r="N1" s="11" t="s">
        <v>87</v>
      </c>
      <c r="O1" s="11" t="s">
        <v>29</v>
      </c>
      <c r="Q1" s="4" t="s">
        <v>209</v>
      </c>
    </row>
    <row r="2" customFormat="false" ht="15" hidden="false" customHeight="true" outlineLevel="0" collapsed="false">
      <c r="A2" s="22" t="s">
        <v>178</v>
      </c>
      <c r="B2" s="22" t="s">
        <v>210</v>
      </c>
      <c r="C2" s="22" t="n">
        <v>16.04</v>
      </c>
      <c r="D2" s="22" t="n">
        <v>4.4</v>
      </c>
      <c r="E2" s="22" t="n">
        <v>17</v>
      </c>
      <c r="F2" s="22" t="n">
        <v>1.31</v>
      </c>
      <c r="G2" s="22"/>
      <c r="H2" s="22" t="n">
        <v>-161.5</v>
      </c>
      <c r="I2" s="22"/>
      <c r="J2" s="22" t="n">
        <v>600</v>
      </c>
      <c r="K2" s="22" t="s">
        <v>211</v>
      </c>
      <c r="L2" s="22"/>
      <c r="M2" s="22"/>
      <c r="N2" s="22"/>
      <c r="O2" s="6" t="s">
        <v>212</v>
      </c>
      <c r="Q2" s="19" t="s">
        <v>213</v>
      </c>
      <c r="R2" s="19"/>
      <c r="S2" s="19"/>
      <c r="T2" s="19"/>
      <c r="U2" s="19"/>
    </row>
    <row r="3" customFormat="false" ht="15" hidden="false" customHeight="false" outlineLevel="0" collapsed="false">
      <c r="A3" s="22" t="s">
        <v>173</v>
      </c>
      <c r="B3" s="22" t="s">
        <v>210</v>
      </c>
      <c r="C3" s="22" t="n">
        <v>44.1</v>
      </c>
      <c r="D3" s="22" t="n">
        <v>1.7</v>
      </c>
      <c r="E3" s="22" t="n">
        <v>10.9</v>
      </c>
      <c r="F3" s="22" t="n">
        <v>1.13</v>
      </c>
      <c r="G3" s="22" t="n">
        <v>493</v>
      </c>
      <c r="H3" s="22" t="n">
        <v>-42.1</v>
      </c>
      <c r="I3" s="22"/>
      <c r="J3" s="22" t="n">
        <v>450</v>
      </c>
      <c r="K3" s="22" t="s">
        <v>211</v>
      </c>
      <c r="L3" s="22"/>
      <c r="M3" s="22"/>
      <c r="N3" s="22"/>
      <c r="O3" s="6" t="s">
        <v>212</v>
      </c>
      <c r="Q3" s="19"/>
      <c r="R3" s="19"/>
      <c r="S3" s="19"/>
      <c r="T3" s="19"/>
      <c r="U3" s="19"/>
    </row>
    <row r="4" customFormat="false" ht="15" hidden="false" customHeight="false" outlineLevel="0" collapsed="false">
      <c r="A4" s="22" t="s">
        <v>185</v>
      </c>
      <c r="B4" s="22" t="s">
        <v>210</v>
      </c>
      <c r="C4" s="22" t="n">
        <v>58.12</v>
      </c>
      <c r="D4" s="22" t="n">
        <v>1.4</v>
      </c>
      <c r="E4" s="22" t="n">
        <v>9.3</v>
      </c>
      <c r="F4" s="22" t="n">
        <v>1.1</v>
      </c>
      <c r="G4" s="22" t="n">
        <v>579</v>
      </c>
      <c r="H4" s="22" t="n">
        <v>-0.5</v>
      </c>
      <c r="I4" s="22"/>
      <c r="J4" s="22" t="n">
        <v>372</v>
      </c>
      <c r="K4" s="22" t="s">
        <v>211</v>
      </c>
      <c r="L4" s="22"/>
      <c r="M4" s="22"/>
      <c r="N4" s="22"/>
      <c r="O4" s="6" t="s">
        <v>212</v>
      </c>
      <c r="Q4" s="19"/>
      <c r="R4" s="19"/>
      <c r="S4" s="19"/>
      <c r="T4" s="19"/>
      <c r="U4" s="19"/>
    </row>
    <row r="5" customFormat="false" ht="15" hidden="false" customHeight="false" outlineLevel="0" collapsed="false">
      <c r="A5" s="22" t="s">
        <v>214</v>
      </c>
      <c r="B5" s="22" t="s">
        <v>210</v>
      </c>
      <c r="C5" s="22" t="n">
        <v>2.016</v>
      </c>
      <c r="D5" s="22" t="n">
        <v>4</v>
      </c>
      <c r="E5" s="22" t="n">
        <v>77</v>
      </c>
      <c r="F5" s="22" t="n">
        <v>1.41</v>
      </c>
      <c r="G5" s="22"/>
      <c r="H5" s="22" t="n">
        <v>-252.9</v>
      </c>
      <c r="I5" s="22"/>
      <c r="J5" s="22" t="n">
        <v>560</v>
      </c>
      <c r="K5" s="22" t="s">
        <v>215</v>
      </c>
      <c r="L5" s="22"/>
      <c r="M5" s="22"/>
      <c r="N5" s="22"/>
      <c r="O5" s="6" t="s">
        <v>212</v>
      </c>
      <c r="Q5" s="19"/>
      <c r="R5" s="19"/>
      <c r="S5" s="19"/>
      <c r="T5" s="19"/>
      <c r="U5" s="19"/>
    </row>
    <row r="6" customFormat="false" ht="15" hidden="false" customHeight="false" outlineLevel="0" collapsed="false">
      <c r="A6" s="22" t="s">
        <v>216</v>
      </c>
      <c r="B6" s="22" t="s">
        <v>210</v>
      </c>
      <c r="C6" s="22" t="n">
        <v>28.05</v>
      </c>
      <c r="D6" s="22" t="n">
        <v>2.3</v>
      </c>
      <c r="E6" s="22" t="n">
        <v>36</v>
      </c>
      <c r="F6" s="22" t="n">
        <v>1.24</v>
      </c>
      <c r="G6" s="22"/>
      <c r="H6" s="22" t="n">
        <v>-103.7</v>
      </c>
      <c r="I6" s="22"/>
      <c r="J6" s="22" t="n">
        <v>440</v>
      </c>
      <c r="K6" s="22" t="s">
        <v>217</v>
      </c>
      <c r="L6" s="22"/>
      <c r="M6" s="22"/>
      <c r="N6" s="22"/>
      <c r="O6" s="6" t="s">
        <v>212</v>
      </c>
      <c r="Q6" s="19"/>
      <c r="R6" s="19"/>
      <c r="S6" s="19"/>
      <c r="T6" s="19"/>
      <c r="U6" s="19"/>
    </row>
    <row r="7" customFormat="false" ht="15" hidden="false" customHeight="false" outlineLevel="0" collapsed="false">
      <c r="A7" s="22" t="s">
        <v>218</v>
      </c>
      <c r="B7" s="22" t="s">
        <v>210</v>
      </c>
      <c r="C7" s="22" t="n">
        <v>26.04</v>
      </c>
      <c r="D7" s="22" t="n">
        <v>2.3</v>
      </c>
      <c r="E7" s="22" t="n">
        <v>100</v>
      </c>
      <c r="F7" s="22" t="n">
        <v>1.23</v>
      </c>
      <c r="G7" s="22"/>
      <c r="H7" s="22" t="n">
        <v>-84</v>
      </c>
      <c r="I7" s="22"/>
      <c r="J7" s="22" t="n">
        <v>305</v>
      </c>
      <c r="K7" s="22" t="s">
        <v>215</v>
      </c>
      <c r="L7" s="22"/>
      <c r="M7" s="22"/>
      <c r="N7" s="22"/>
      <c r="O7" s="6" t="s">
        <v>212</v>
      </c>
      <c r="Q7" s="19"/>
      <c r="R7" s="19"/>
      <c r="S7" s="19"/>
      <c r="T7" s="19"/>
      <c r="U7" s="19"/>
    </row>
    <row r="8" customFormat="false" ht="15" hidden="false" customHeight="false" outlineLevel="0" collapsed="false">
      <c r="A8" s="22" t="s">
        <v>219</v>
      </c>
      <c r="B8" s="22" t="s">
        <v>210</v>
      </c>
      <c r="C8" s="22" t="n">
        <v>17.03</v>
      </c>
      <c r="D8" s="22" t="n">
        <v>15</v>
      </c>
      <c r="E8" s="22" t="n">
        <v>33.6</v>
      </c>
      <c r="F8" s="22" t="n">
        <v>1.31</v>
      </c>
      <c r="G8" s="22"/>
      <c r="H8" s="22" t="n">
        <v>-33.3</v>
      </c>
      <c r="I8" s="22"/>
      <c r="J8" s="22" t="n">
        <v>630</v>
      </c>
      <c r="K8" s="22" t="s">
        <v>211</v>
      </c>
      <c r="L8" s="22"/>
      <c r="M8" s="22"/>
      <c r="N8" s="22"/>
      <c r="O8" s="6" t="s">
        <v>212</v>
      </c>
      <c r="Q8" s="19"/>
      <c r="R8" s="19"/>
      <c r="S8" s="19"/>
      <c r="T8" s="19"/>
      <c r="U8" s="19"/>
    </row>
    <row r="9" customFormat="false" ht="15" hidden="false" customHeight="false" outlineLevel="0" collapsed="false">
      <c r="A9" s="22" t="s">
        <v>220</v>
      </c>
      <c r="B9" s="22" t="s">
        <v>210</v>
      </c>
      <c r="C9" s="22" t="n">
        <v>34.08</v>
      </c>
      <c r="D9" s="22" t="n">
        <v>4</v>
      </c>
      <c r="E9" s="22" t="n">
        <v>45.5</v>
      </c>
      <c r="F9" s="22" t="n">
        <v>1.32</v>
      </c>
      <c r="G9" s="22"/>
      <c r="H9" s="22" t="n">
        <v>-60.3</v>
      </c>
      <c r="I9" s="22"/>
      <c r="J9" s="22" t="n">
        <v>260</v>
      </c>
      <c r="K9" s="22" t="s">
        <v>217</v>
      </c>
      <c r="L9" s="22"/>
      <c r="M9" s="22"/>
      <c r="N9" s="22"/>
      <c r="O9" s="6" t="s">
        <v>212</v>
      </c>
      <c r="Q9" s="19"/>
      <c r="R9" s="19"/>
      <c r="S9" s="19"/>
      <c r="T9" s="19"/>
      <c r="U9" s="19"/>
    </row>
    <row r="10" customFormat="false" ht="15" hidden="false" customHeight="false" outlineLevel="0" collapsed="false">
      <c r="A10" s="22" t="s">
        <v>221</v>
      </c>
      <c r="B10" s="22" t="s">
        <v>222</v>
      </c>
      <c r="C10" s="22" t="n">
        <v>32.04</v>
      </c>
      <c r="D10" s="22" t="n">
        <v>6</v>
      </c>
      <c r="E10" s="22" t="n">
        <v>36</v>
      </c>
      <c r="F10" s="22"/>
      <c r="G10" s="22" t="n">
        <v>791</v>
      </c>
      <c r="H10" s="22" t="n">
        <v>64.7</v>
      </c>
      <c r="I10" s="22" t="n">
        <v>11</v>
      </c>
      <c r="J10" s="22" t="n">
        <v>440</v>
      </c>
      <c r="K10" s="22" t="s">
        <v>211</v>
      </c>
      <c r="L10" s="22" t="n">
        <v>8.08097</v>
      </c>
      <c r="M10" s="22" t="n">
        <v>1582.271</v>
      </c>
      <c r="N10" s="22" t="n">
        <v>239.726</v>
      </c>
      <c r="O10" s="6" t="s">
        <v>212</v>
      </c>
      <c r="Q10" s="19"/>
      <c r="R10" s="19"/>
      <c r="S10" s="19"/>
      <c r="T10" s="19"/>
      <c r="U10" s="19"/>
    </row>
    <row r="11" customFormat="false" ht="15" hidden="false" customHeight="false" outlineLevel="0" collapsed="false">
      <c r="A11" s="22" t="s">
        <v>223</v>
      </c>
      <c r="B11" s="22" t="s">
        <v>222</v>
      </c>
      <c r="C11" s="22" t="n">
        <v>46.07</v>
      </c>
      <c r="D11" s="22" t="n">
        <v>3.1</v>
      </c>
      <c r="E11" s="22" t="n">
        <v>19</v>
      </c>
      <c r="F11" s="22"/>
      <c r="G11" s="22" t="n">
        <v>789</v>
      </c>
      <c r="H11" s="22" t="n">
        <v>78.4</v>
      </c>
      <c r="I11" s="22" t="n">
        <v>13</v>
      </c>
      <c r="J11" s="22" t="n">
        <v>363</v>
      </c>
      <c r="K11" s="22" t="s">
        <v>217</v>
      </c>
      <c r="L11" s="22" t="n">
        <v>8.20417</v>
      </c>
      <c r="M11" s="22" t="n">
        <v>1642.89</v>
      </c>
      <c r="N11" s="22" t="n">
        <v>230.3</v>
      </c>
      <c r="O11" s="6" t="s">
        <v>212</v>
      </c>
      <c r="Q11" s="19"/>
      <c r="R11" s="19"/>
      <c r="S11" s="19"/>
      <c r="T11" s="19"/>
      <c r="U11" s="19"/>
    </row>
    <row r="12" customFormat="false" ht="15" hidden="false" customHeight="false" outlineLevel="0" collapsed="false">
      <c r="A12" s="22" t="s">
        <v>224</v>
      </c>
      <c r="B12" s="22" t="s">
        <v>222</v>
      </c>
      <c r="C12" s="22" t="n">
        <v>60.1</v>
      </c>
      <c r="D12" s="22" t="n">
        <v>2</v>
      </c>
      <c r="E12" s="22" t="n">
        <v>12.7</v>
      </c>
      <c r="F12" s="22"/>
      <c r="G12" s="22" t="n">
        <v>786</v>
      </c>
      <c r="H12" s="22" t="n">
        <v>82.3</v>
      </c>
      <c r="I12" s="22" t="n">
        <v>12</v>
      </c>
      <c r="J12" s="22" t="n">
        <v>399</v>
      </c>
      <c r="K12" s="22" t="s">
        <v>211</v>
      </c>
      <c r="L12" s="22" t="n">
        <v>8.11778</v>
      </c>
      <c r="M12" s="22" t="n">
        <v>1580.92</v>
      </c>
      <c r="N12" s="22" t="n">
        <v>219.61</v>
      </c>
      <c r="O12" s="6" t="s">
        <v>212</v>
      </c>
      <c r="Q12" s="19"/>
      <c r="R12" s="19"/>
      <c r="S12" s="19"/>
      <c r="T12" s="19"/>
      <c r="U12" s="19"/>
    </row>
    <row r="13" customFormat="false" ht="15" hidden="false" customHeight="false" outlineLevel="0" collapsed="false">
      <c r="A13" s="22" t="s">
        <v>225</v>
      </c>
      <c r="B13" s="22" t="s">
        <v>222</v>
      </c>
      <c r="C13" s="22" t="n">
        <v>58.08</v>
      </c>
      <c r="D13" s="22" t="n">
        <v>2.5</v>
      </c>
      <c r="E13" s="22" t="n">
        <v>13</v>
      </c>
      <c r="F13" s="22"/>
      <c r="G13" s="22" t="n">
        <v>784</v>
      </c>
      <c r="H13" s="22" t="n">
        <v>56.1</v>
      </c>
      <c r="I13" s="22" t="n">
        <v>-18</v>
      </c>
      <c r="J13" s="22" t="n">
        <v>465</v>
      </c>
      <c r="K13" s="22" t="s">
        <v>211</v>
      </c>
      <c r="L13" s="22" t="n">
        <v>7.11714</v>
      </c>
      <c r="M13" s="22" t="n">
        <v>1210.595</v>
      </c>
      <c r="N13" s="22" t="n">
        <v>229.664</v>
      </c>
      <c r="O13" s="6" t="s">
        <v>212</v>
      </c>
    </row>
    <row r="14" customFormat="false" ht="15" hidden="false" customHeight="false" outlineLevel="0" collapsed="false">
      <c r="A14" s="22" t="s">
        <v>226</v>
      </c>
      <c r="B14" s="22" t="s">
        <v>222</v>
      </c>
      <c r="C14" s="22" t="n">
        <v>88.11</v>
      </c>
      <c r="D14" s="22" t="n">
        <v>2</v>
      </c>
      <c r="E14" s="22" t="n">
        <v>11.5</v>
      </c>
      <c r="F14" s="22"/>
      <c r="G14" s="22" t="n">
        <v>902</v>
      </c>
      <c r="H14" s="22" t="n">
        <v>77.1</v>
      </c>
      <c r="I14" s="22" t="n">
        <v>-4</v>
      </c>
      <c r="J14" s="22" t="n">
        <v>426</v>
      </c>
      <c r="K14" s="22" t="s">
        <v>211</v>
      </c>
      <c r="L14" s="22" t="n">
        <v>7.10179</v>
      </c>
      <c r="M14" s="22" t="n">
        <v>1244.95</v>
      </c>
      <c r="N14" s="22" t="n">
        <v>217.88</v>
      </c>
      <c r="O14" s="6" t="s">
        <v>212</v>
      </c>
    </row>
    <row r="15" customFormat="false" ht="15" hidden="false" customHeight="false" outlineLevel="0" collapsed="false">
      <c r="A15" s="22" t="s">
        <v>5</v>
      </c>
      <c r="B15" s="22" t="s">
        <v>222</v>
      </c>
      <c r="C15" s="22" t="n">
        <v>92.14</v>
      </c>
      <c r="D15" s="22" t="n">
        <v>1</v>
      </c>
      <c r="E15" s="22" t="n">
        <v>7.1</v>
      </c>
      <c r="F15" s="22"/>
      <c r="G15" s="22" t="n">
        <v>867</v>
      </c>
      <c r="H15" s="22" t="n">
        <v>110.6</v>
      </c>
      <c r="I15" s="22" t="n">
        <v>4</v>
      </c>
      <c r="J15" s="22" t="n">
        <v>480</v>
      </c>
      <c r="K15" s="22" t="s">
        <v>211</v>
      </c>
      <c r="L15" s="22" t="n">
        <v>6.95464</v>
      </c>
      <c r="M15" s="22" t="n">
        <v>1344.8</v>
      </c>
      <c r="N15" s="22" t="n">
        <v>219.482</v>
      </c>
      <c r="O15" s="6" t="s">
        <v>212</v>
      </c>
    </row>
    <row r="16" customFormat="false" ht="15" hidden="false" customHeight="false" outlineLevel="0" collapsed="false">
      <c r="A16" s="22" t="s">
        <v>227</v>
      </c>
      <c r="B16" s="22" t="s">
        <v>222</v>
      </c>
      <c r="C16" s="22" t="n">
        <v>106.17</v>
      </c>
      <c r="D16" s="22" t="n">
        <v>1</v>
      </c>
      <c r="E16" s="22" t="n">
        <v>7</v>
      </c>
      <c r="F16" s="22"/>
      <c r="G16" s="22" t="n">
        <v>864</v>
      </c>
      <c r="H16" s="22" t="n">
        <v>138</v>
      </c>
      <c r="I16" s="22" t="n">
        <v>25</v>
      </c>
      <c r="J16" s="22" t="n">
        <v>464</v>
      </c>
      <c r="K16" s="22" t="s">
        <v>211</v>
      </c>
      <c r="L16" s="22" t="n">
        <v>6.99052</v>
      </c>
      <c r="M16" s="22" t="n">
        <v>1453.43</v>
      </c>
      <c r="N16" s="22" t="n">
        <v>215.31</v>
      </c>
      <c r="O16" s="6" t="s">
        <v>212</v>
      </c>
    </row>
    <row r="17" customFormat="false" ht="15" hidden="false" customHeight="false" outlineLevel="0" collapsed="false">
      <c r="A17" s="22" t="s">
        <v>228</v>
      </c>
      <c r="B17" s="22" t="s">
        <v>222</v>
      </c>
      <c r="C17" s="22" t="n">
        <v>86.18</v>
      </c>
      <c r="D17" s="22" t="n">
        <v>1</v>
      </c>
      <c r="E17" s="22" t="n">
        <v>7.5</v>
      </c>
      <c r="F17" s="22"/>
      <c r="G17" s="22" t="n">
        <v>659</v>
      </c>
      <c r="H17" s="22" t="n">
        <v>68.7</v>
      </c>
      <c r="I17" s="22" t="n">
        <v>-22</v>
      </c>
      <c r="J17" s="22" t="n">
        <v>225</v>
      </c>
      <c r="K17" s="22" t="s">
        <v>211</v>
      </c>
      <c r="L17" s="22" t="n">
        <v>6.87601</v>
      </c>
      <c r="M17" s="22" t="n">
        <v>1171.17</v>
      </c>
      <c r="N17" s="22" t="n">
        <v>224.41</v>
      </c>
      <c r="O17" s="6" t="s">
        <v>212</v>
      </c>
    </row>
    <row r="18" customFormat="false" ht="15" hidden="false" customHeight="false" outlineLevel="0" collapsed="false">
      <c r="A18" s="22" t="s">
        <v>229</v>
      </c>
      <c r="B18" s="22" t="s">
        <v>222</v>
      </c>
      <c r="C18" s="22" t="n">
        <v>100.2</v>
      </c>
      <c r="D18" s="22" t="n">
        <v>1.1</v>
      </c>
      <c r="E18" s="22" t="n">
        <v>6.7</v>
      </c>
      <c r="F18" s="22"/>
      <c r="G18" s="22" t="n">
        <v>684</v>
      </c>
      <c r="H18" s="22" t="n">
        <v>98.4</v>
      </c>
      <c r="I18" s="22" t="n">
        <v>-4</v>
      </c>
      <c r="J18" s="22" t="n">
        <v>204</v>
      </c>
      <c r="K18" s="22" t="s">
        <v>211</v>
      </c>
      <c r="L18" s="22" t="n">
        <v>6.89385</v>
      </c>
      <c r="M18" s="22" t="n">
        <v>1264.37</v>
      </c>
      <c r="N18" s="22" t="n">
        <v>216.636</v>
      </c>
      <c r="O18" s="6" t="s">
        <v>212</v>
      </c>
    </row>
    <row r="19" customFormat="false" ht="15" hidden="false" customHeight="false" outlineLevel="0" collapsed="false">
      <c r="A19" s="22" t="s">
        <v>230</v>
      </c>
      <c r="B19" s="22" t="s">
        <v>222</v>
      </c>
      <c r="C19" s="22" t="n">
        <v>74.12</v>
      </c>
      <c r="D19" s="22" t="n">
        <v>1.7</v>
      </c>
      <c r="E19" s="22" t="n">
        <v>36</v>
      </c>
      <c r="F19" s="22"/>
      <c r="G19" s="22" t="n">
        <v>713</v>
      </c>
      <c r="H19" s="22" t="n">
        <v>34.6</v>
      </c>
      <c r="I19" s="22" t="n">
        <v>-45</v>
      </c>
      <c r="J19" s="22" t="n">
        <v>160</v>
      </c>
      <c r="K19" s="22" t="s">
        <v>217</v>
      </c>
      <c r="L19" s="22" t="n">
        <v>6.92032</v>
      </c>
      <c r="M19" s="22" t="n">
        <v>1064.07</v>
      </c>
      <c r="N19" s="22" t="n">
        <v>228.8</v>
      </c>
      <c r="O19" s="6" t="s">
        <v>212</v>
      </c>
    </row>
    <row r="20" customFormat="false" ht="15" hidden="false" customHeight="false" outlineLevel="0" collapsed="false">
      <c r="A20" s="22"/>
      <c r="B20" s="22"/>
      <c r="C20" s="22"/>
      <c r="D20" s="22"/>
      <c r="E20" s="22"/>
      <c r="F20" s="22"/>
      <c r="G20" s="22"/>
      <c r="H20" s="22"/>
      <c r="I20" s="22"/>
      <c r="J20" s="22"/>
      <c r="K20" s="22"/>
      <c r="L20" s="22"/>
      <c r="M20" s="22"/>
      <c r="N20" s="22"/>
      <c r="O20" s="22"/>
    </row>
    <row r="21" customFormat="false" ht="15" hidden="false" customHeight="false" outlineLevel="0" collapsed="false">
      <c r="A21" s="22"/>
      <c r="B21" s="22"/>
      <c r="C21" s="22"/>
      <c r="D21" s="22"/>
      <c r="E21" s="22"/>
      <c r="F21" s="22"/>
      <c r="G21" s="22"/>
      <c r="H21" s="22"/>
      <c r="I21" s="22"/>
      <c r="J21" s="22"/>
      <c r="K21" s="22"/>
      <c r="L21" s="22"/>
      <c r="M21" s="22"/>
      <c r="N21" s="22"/>
      <c r="O21" s="22"/>
    </row>
    <row r="22" customFormat="false" ht="15" hidden="false" customHeight="false" outlineLevel="0" collapsed="false">
      <c r="A22" s="22"/>
      <c r="B22" s="22"/>
      <c r="C22" s="22"/>
      <c r="D22" s="22"/>
      <c r="E22" s="22"/>
      <c r="F22" s="22"/>
      <c r="G22" s="22"/>
      <c r="H22" s="22"/>
      <c r="I22" s="22"/>
      <c r="J22" s="22"/>
      <c r="K22" s="22"/>
      <c r="L22" s="22"/>
      <c r="M22" s="22"/>
      <c r="N22" s="22"/>
      <c r="O22" s="22"/>
    </row>
    <row r="23" customFormat="false" ht="15" hidden="false" customHeight="false" outlineLevel="0" collapsed="false">
      <c r="A23" s="22"/>
      <c r="B23" s="22"/>
      <c r="C23" s="22"/>
      <c r="D23" s="22"/>
      <c r="E23" s="22"/>
      <c r="F23" s="22"/>
      <c r="G23" s="22"/>
      <c r="H23" s="22"/>
      <c r="I23" s="22"/>
      <c r="J23" s="22"/>
      <c r="K23" s="22"/>
      <c r="L23" s="22"/>
      <c r="M23" s="22"/>
      <c r="N23" s="22"/>
      <c r="O23" s="22"/>
    </row>
    <row r="24" customFormat="false" ht="15" hidden="false" customHeight="false" outlineLevel="0" collapsed="false">
      <c r="A24" s="22"/>
      <c r="B24" s="22"/>
      <c r="C24" s="22"/>
      <c r="D24" s="22"/>
      <c r="E24" s="22"/>
      <c r="F24" s="22"/>
      <c r="G24" s="22"/>
      <c r="H24" s="22"/>
      <c r="I24" s="22"/>
      <c r="J24" s="22"/>
      <c r="K24" s="22"/>
      <c r="L24" s="22"/>
      <c r="M24" s="22"/>
      <c r="N24" s="22"/>
      <c r="O24" s="22"/>
    </row>
    <row r="25" customFormat="false" ht="15" hidden="false" customHeight="false" outlineLevel="0" collapsed="false">
      <c r="A25" s="22"/>
      <c r="B25" s="22"/>
      <c r="C25" s="22"/>
      <c r="D25" s="22"/>
      <c r="E25" s="22"/>
      <c r="F25" s="22"/>
      <c r="G25" s="22"/>
      <c r="H25" s="22"/>
      <c r="I25" s="22"/>
      <c r="J25" s="22"/>
      <c r="K25" s="22"/>
      <c r="L25" s="22"/>
      <c r="M25" s="22"/>
      <c r="N25" s="22"/>
      <c r="O25" s="22"/>
    </row>
    <row r="26" customFormat="false" ht="15" hidden="false" customHeight="false" outlineLevel="0" collapsed="false">
      <c r="A26" s="22"/>
      <c r="B26" s="22"/>
      <c r="C26" s="22"/>
      <c r="D26" s="22"/>
      <c r="E26" s="22"/>
      <c r="F26" s="22"/>
      <c r="G26" s="22"/>
      <c r="H26" s="22"/>
      <c r="I26" s="22"/>
      <c r="J26" s="22"/>
      <c r="K26" s="22"/>
      <c r="L26" s="22"/>
      <c r="M26" s="22"/>
      <c r="N26" s="22"/>
      <c r="O26" s="22"/>
    </row>
    <row r="27" customFormat="false" ht="15" hidden="false" customHeight="false" outlineLevel="0" collapsed="false">
      <c r="A27" s="22"/>
      <c r="B27" s="22"/>
      <c r="C27" s="22"/>
      <c r="D27" s="22"/>
      <c r="E27" s="22"/>
      <c r="F27" s="22"/>
      <c r="G27" s="22"/>
      <c r="H27" s="22"/>
      <c r="I27" s="22"/>
      <c r="J27" s="22"/>
      <c r="K27" s="22"/>
      <c r="L27" s="22"/>
      <c r="M27" s="22"/>
      <c r="N27" s="22"/>
      <c r="O27" s="22"/>
    </row>
    <row r="28" customFormat="false" ht="15" hidden="false" customHeight="false" outlineLevel="0" collapsed="false">
      <c r="A28" s="22"/>
      <c r="B28" s="22"/>
      <c r="C28" s="22"/>
      <c r="D28" s="22"/>
      <c r="E28" s="22"/>
      <c r="F28" s="22"/>
      <c r="G28" s="22"/>
      <c r="H28" s="22"/>
      <c r="I28" s="22"/>
      <c r="J28" s="22"/>
      <c r="K28" s="22"/>
      <c r="L28" s="22"/>
      <c r="M28" s="22"/>
      <c r="N28" s="22"/>
      <c r="O28" s="22"/>
    </row>
    <row r="29" customFormat="false" ht="15" hidden="false" customHeight="false" outlineLevel="0" collapsed="false">
      <c r="A29" s="22"/>
      <c r="B29" s="22"/>
      <c r="C29" s="22"/>
      <c r="D29" s="22"/>
      <c r="E29" s="22"/>
      <c r="F29" s="22"/>
      <c r="G29" s="22"/>
      <c r="H29" s="22"/>
      <c r="I29" s="22"/>
      <c r="J29" s="22"/>
      <c r="K29" s="22"/>
      <c r="L29" s="22"/>
      <c r="M29" s="22"/>
      <c r="N29" s="22"/>
      <c r="O29" s="22"/>
    </row>
    <row r="30" customFormat="false" ht="15" hidden="false" customHeight="false" outlineLevel="0" collapsed="false">
      <c r="A30" s="22"/>
      <c r="B30" s="22"/>
      <c r="C30" s="22"/>
      <c r="D30" s="22"/>
      <c r="E30" s="22"/>
      <c r="F30" s="22"/>
      <c r="G30" s="22"/>
      <c r="H30" s="22"/>
      <c r="I30" s="22"/>
      <c r="J30" s="22"/>
      <c r="K30" s="22"/>
      <c r="L30" s="22"/>
      <c r="M30" s="22"/>
      <c r="N30" s="22"/>
      <c r="O30" s="22"/>
    </row>
    <row r="31" customFormat="false" ht="15" hidden="false" customHeight="false" outlineLevel="0" collapsed="false">
      <c r="A31" s="22"/>
      <c r="B31" s="22"/>
      <c r="C31" s="22"/>
      <c r="D31" s="22"/>
      <c r="E31" s="22"/>
      <c r="F31" s="22"/>
      <c r="G31" s="22"/>
      <c r="H31" s="22"/>
      <c r="I31" s="22"/>
      <c r="J31" s="22"/>
      <c r="K31" s="22"/>
      <c r="L31" s="22"/>
      <c r="M31" s="22"/>
      <c r="N31" s="22"/>
      <c r="O31" s="22"/>
    </row>
    <row r="32" customFormat="false" ht="15" hidden="false" customHeight="false" outlineLevel="0" collapsed="false">
      <c r="A32" s="22"/>
      <c r="B32" s="22"/>
      <c r="C32" s="22"/>
      <c r="D32" s="22"/>
      <c r="E32" s="22"/>
      <c r="F32" s="22"/>
      <c r="G32" s="22"/>
      <c r="H32" s="22"/>
      <c r="I32" s="22"/>
      <c r="J32" s="22"/>
      <c r="K32" s="22"/>
      <c r="L32" s="22"/>
      <c r="M32" s="22"/>
      <c r="N32" s="22"/>
      <c r="O32" s="22"/>
    </row>
    <row r="33" customFormat="false" ht="15" hidden="false" customHeight="false" outlineLevel="0" collapsed="false">
      <c r="A33" s="22"/>
      <c r="B33" s="22"/>
      <c r="C33" s="22"/>
      <c r="D33" s="22"/>
      <c r="E33" s="22"/>
      <c r="F33" s="22"/>
      <c r="G33" s="22"/>
      <c r="H33" s="22"/>
      <c r="I33" s="22"/>
      <c r="J33" s="22"/>
      <c r="K33" s="22"/>
      <c r="L33" s="22"/>
      <c r="M33" s="22"/>
      <c r="N33" s="22"/>
      <c r="O33" s="22"/>
    </row>
    <row r="34" customFormat="false" ht="15" hidden="false" customHeight="false" outlineLevel="0" collapsed="false">
      <c r="A34" s="22"/>
      <c r="B34" s="22"/>
      <c r="C34" s="22"/>
      <c r="D34" s="22"/>
      <c r="E34" s="22"/>
      <c r="F34" s="22"/>
      <c r="G34" s="22"/>
      <c r="H34" s="22"/>
      <c r="I34" s="22"/>
      <c r="J34" s="22"/>
      <c r="K34" s="22"/>
      <c r="L34" s="22"/>
      <c r="M34" s="22"/>
      <c r="N34" s="22"/>
      <c r="O34" s="22"/>
    </row>
    <row r="35" customFormat="false" ht="15" hidden="false" customHeight="false" outlineLevel="0" collapsed="false">
      <c r="A35" s="22"/>
      <c r="B35" s="22"/>
      <c r="C35" s="22"/>
      <c r="D35" s="22"/>
      <c r="E35" s="22"/>
      <c r="F35" s="22"/>
      <c r="G35" s="22"/>
      <c r="H35" s="22"/>
      <c r="I35" s="22"/>
      <c r="J35" s="22"/>
      <c r="K35" s="22"/>
      <c r="L35" s="22"/>
      <c r="M35" s="22"/>
      <c r="N35" s="22"/>
      <c r="O35" s="22"/>
    </row>
    <row r="36" customFormat="false" ht="15" hidden="false" customHeight="false" outlineLevel="0" collapsed="false">
      <c r="A36" s="22"/>
      <c r="B36" s="22"/>
      <c r="C36" s="22"/>
      <c r="D36" s="22"/>
      <c r="E36" s="22"/>
      <c r="F36" s="22"/>
      <c r="G36" s="22"/>
      <c r="H36" s="22"/>
      <c r="I36" s="22"/>
      <c r="J36" s="22"/>
      <c r="K36" s="22"/>
      <c r="L36" s="22"/>
      <c r="M36" s="22"/>
      <c r="N36" s="22"/>
      <c r="O36" s="22"/>
    </row>
    <row r="37" customFormat="false" ht="15" hidden="false" customHeight="false" outlineLevel="0" collapsed="false">
      <c r="A37" s="22"/>
      <c r="B37" s="22"/>
      <c r="C37" s="22"/>
      <c r="D37" s="22"/>
      <c r="E37" s="22"/>
      <c r="F37" s="22"/>
      <c r="G37" s="22"/>
      <c r="H37" s="22"/>
      <c r="I37" s="22"/>
      <c r="J37" s="22"/>
      <c r="K37" s="22"/>
      <c r="L37" s="22"/>
      <c r="M37" s="22"/>
      <c r="N37" s="22"/>
      <c r="O37" s="22"/>
    </row>
    <row r="38" customFormat="false" ht="15" hidden="false" customHeight="false" outlineLevel="0" collapsed="false">
      <c r="A38" s="22"/>
      <c r="B38" s="22"/>
      <c r="C38" s="22"/>
      <c r="D38" s="22"/>
      <c r="E38" s="22"/>
      <c r="F38" s="22"/>
      <c r="G38" s="22"/>
      <c r="H38" s="22"/>
      <c r="I38" s="22"/>
      <c r="J38" s="22"/>
      <c r="K38" s="22"/>
      <c r="L38" s="22"/>
      <c r="M38" s="22"/>
      <c r="N38" s="22"/>
      <c r="O38" s="22"/>
    </row>
    <row r="39" customFormat="false" ht="15" hidden="false" customHeight="false" outlineLevel="0" collapsed="false">
      <c r="A39" s="22"/>
      <c r="B39" s="22"/>
      <c r="C39" s="22"/>
      <c r="D39" s="22"/>
      <c r="E39" s="22"/>
      <c r="F39" s="22"/>
      <c r="G39" s="22"/>
      <c r="H39" s="22"/>
      <c r="I39" s="22"/>
      <c r="J39" s="22"/>
      <c r="K39" s="22"/>
      <c r="L39" s="22"/>
      <c r="M39" s="22"/>
      <c r="N39" s="22"/>
      <c r="O39" s="22"/>
    </row>
    <row r="40" customFormat="false" ht="15" hidden="false" customHeight="false" outlineLevel="0" collapsed="false">
      <c r="A40" s="22"/>
      <c r="B40" s="22"/>
      <c r="C40" s="22"/>
      <c r="D40" s="22"/>
      <c r="E40" s="22"/>
      <c r="F40" s="22"/>
      <c r="G40" s="22"/>
      <c r="H40" s="22"/>
      <c r="I40" s="22"/>
      <c r="J40" s="22"/>
      <c r="K40" s="22"/>
      <c r="L40" s="22"/>
      <c r="M40" s="22"/>
      <c r="N40" s="22"/>
      <c r="O40" s="22"/>
    </row>
    <row r="41" customFormat="false" ht="15" hidden="false" customHeight="false" outlineLevel="0" collapsed="false">
      <c r="A41" s="22"/>
      <c r="B41" s="22"/>
      <c r="C41" s="22"/>
      <c r="D41" s="22"/>
      <c r="E41" s="22"/>
      <c r="F41" s="22"/>
      <c r="G41" s="22"/>
      <c r="H41" s="22"/>
      <c r="I41" s="22"/>
      <c r="J41" s="22"/>
      <c r="K41" s="22"/>
      <c r="L41" s="22"/>
      <c r="M41" s="22"/>
      <c r="N41" s="22"/>
      <c r="O41" s="22"/>
    </row>
    <row r="42" customFormat="false" ht="15" hidden="false" customHeight="false" outlineLevel="0" collapsed="false">
      <c r="A42" s="22"/>
      <c r="B42" s="22"/>
      <c r="C42" s="22"/>
      <c r="D42" s="22"/>
      <c r="E42" s="22"/>
      <c r="F42" s="22"/>
      <c r="G42" s="22"/>
      <c r="H42" s="22"/>
      <c r="I42" s="22"/>
      <c r="J42" s="22"/>
      <c r="K42" s="22"/>
      <c r="L42" s="22"/>
      <c r="M42" s="22"/>
      <c r="N42" s="22"/>
      <c r="O42" s="22"/>
    </row>
    <row r="43" customFormat="false" ht="15" hidden="false" customHeight="false" outlineLevel="0" collapsed="false">
      <c r="A43" s="22"/>
      <c r="B43" s="22"/>
      <c r="C43" s="22"/>
      <c r="D43" s="22"/>
      <c r="E43" s="22"/>
      <c r="F43" s="22"/>
      <c r="G43" s="22"/>
      <c r="H43" s="22"/>
      <c r="I43" s="22"/>
      <c r="J43" s="22"/>
      <c r="K43" s="22"/>
      <c r="L43" s="22"/>
      <c r="M43" s="22"/>
      <c r="N43" s="22"/>
      <c r="O43" s="22"/>
    </row>
    <row r="44" customFormat="false" ht="15" hidden="false" customHeight="false" outlineLevel="0" collapsed="false">
      <c r="A44" s="22"/>
      <c r="B44" s="22"/>
      <c r="C44" s="22"/>
      <c r="D44" s="22"/>
      <c r="E44" s="22"/>
      <c r="F44" s="22"/>
      <c r="G44" s="22"/>
      <c r="H44" s="22"/>
      <c r="I44" s="22"/>
      <c r="J44" s="22"/>
      <c r="K44" s="22"/>
      <c r="L44" s="22"/>
      <c r="M44" s="22"/>
      <c r="N44" s="22"/>
      <c r="O44" s="22"/>
    </row>
    <row r="45" customFormat="false" ht="15" hidden="false" customHeight="false" outlineLevel="0" collapsed="false">
      <c r="A45" s="22"/>
      <c r="B45" s="22"/>
      <c r="C45" s="22"/>
      <c r="D45" s="22"/>
      <c r="E45" s="22"/>
      <c r="F45" s="22"/>
      <c r="G45" s="22"/>
      <c r="H45" s="22"/>
      <c r="I45" s="22"/>
      <c r="J45" s="22"/>
      <c r="K45" s="22"/>
      <c r="L45" s="22"/>
      <c r="M45" s="22"/>
      <c r="N45" s="22"/>
      <c r="O45" s="22"/>
    </row>
    <row r="46" customFormat="false" ht="15" hidden="false" customHeight="false" outlineLevel="0" collapsed="false">
      <c r="A46" s="22"/>
      <c r="B46" s="22"/>
      <c r="C46" s="22"/>
      <c r="D46" s="22"/>
      <c r="E46" s="22"/>
      <c r="F46" s="22"/>
      <c r="G46" s="22"/>
      <c r="H46" s="22"/>
      <c r="I46" s="22"/>
      <c r="J46" s="22"/>
      <c r="K46" s="22"/>
      <c r="L46" s="22"/>
      <c r="M46" s="22"/>
      <c r="N46" s="22"/>
      <c r="O46" s="22"/>
    </row>
    <row r="47" customFormat="false" ht="15" hidden="false" customHeight="false" outlineLevel="0" collapsed="false">
      <c r="A47" s="22"/>
      <c r="B47" s="22"/>
      <c r="C47" s="22"/>
      <c r="D47" s="22"/>
      <c r="E47" s="22"/>
      <c r="F47" s="22"/>
      <c r="G47" s="22"/>
      <c r="H47" s="22"/>
      <c r="I47" s="22"/>
      <c r="J47" s="22"/>
      <c r="K47" s="22"/>
      <c r="L47" s="22"/>
      <c r="M47" s="22"/>
      <c r="N47" s="22"/>
      <c r="O47" s="22"/>
    </row>
    <row r="48" customFormat="false" ht="15" hidden="false" customHeight="false" outlineLevel="0" collapsed="false">
      <c r="A48" s="22"/>
      <c r="B48" s="22"/>
      <c r="C48" s="22"/>
      <c r="D48" s="22"/>
      <c r="E48" s="22"/>
      <c r="F48" s="22"/>
      <c r="G48" s="22"/>
      <c r="H48" s="22"/>
      <c r="I48" s="22"/>
      <c r="J48" s="22"/>
      <c r="K48" s="22"/>
      <c r="L48" s="22"/>
      <c r="M48" s="22"/>
      <c r="N48" s="22"/>
      <c r="O48" s="22"/>
    </row>
    <row r="49" customFormat="false" ht="15" hidden="false" customHeight="false" outlineLevel="0" collapsed="false">
      <c r="A49" s="22"/>
      <c r="B49" s="22"/>
      <c r="C49" s="22"/>
      <c r="D49" s="22"/>
      <c r="E49" s="22"/>
      <c r="F49" s="22"/>
      <c r="G49" s="22"/>
      <c r="H49" s="22"/>
      <c r="I49" s="22"/>
      <c r="J49" s="22"/>
      <c r="K49" s="22"/>
      <c r="L49" s="22"/>
      <c r="M49" s="22"/>
      <c r="N49" s="22"/>
      <c r="O49" s="22"/>
    </row>
    <row r="50" customFormat="false" ht="15" hidden="false" customHeight="false" outlineLevel="0" collapsed="false">
      <c r="A50" s="22"/>
      <c r="B50" s="22"/>
      <c r="C50" s="22"/>
      <c r="D50" s="22"/>
      <c r="E50" s="22"/>
      <c r="F50" s="22"/>
      <c r="G50" s="22"/>
      <c r="H50" s="22"/>
      <c r="I50" s="22"/>
      <c r="J50" s="22"/>
      <c r="K50" s="22"/>
      <c r="L50" s="22"/>
      <c r="M50" s="22"/>
      <c r="N50" s="22"/>
      <c r="O50" s="22"/>
    </row>
    <row r="51" customFormat="false" ht="15" hidden="false" customHeight="false" outlineLevel="0" collapsed="false">
      <c r="A51" s="22"/>
      <c r="B51" s="22"/>
      <c r="C51" s="22"/>
      <c r="D51" s="22"/>
      <c r="E51" s="22"/>
      <c r="F51" s="22"/>
      <c r="G51" s="22"/>
      <c r="H51" s="22"/>
      <c r="I51" s="22"/>
      <c r="J51" s="22"/>
      <c r="K51" s="22"/>
      <c r="L51" s="22"/>
      <c r="M51" s="22"/>
      <c r="N51" s="22"/>
      <c r="O51" s="22"/>
    </row>
    <row r="52" customFormat="false" ht="15" hidden="false" customHeight="false" outlineLevel="0" collapsed="false">
      <c r="A52" s="22"/>
      <c r="B52" s="22"/>
      <c r="C52" s="22"/>
      <c r="D52" s="22"/>
      <c r="E52" s="22"/>
      <c r="F52" s="22"/>
      <c r="G52" s="22"/>
      <c r="H52" s="22"/>
      <c r="I52" s="22"/>
      <c r="J52" s="22"/>
      <c r="K52" s="22"/>
      <c r="L52" s="22"/>
      <c r="M52" s="22"/>
      <c r="N52" s="22"/>
      <c r="O52" s="22"/>
    </row>
    <row r="53" customFormat="false" ht="15" hidden="false" customHeight="false" outlineLevel="0" collapsed="false">
      <c r="A53" s="22"/>
      <c r="B53" s="22"/>
      <c r="C53" s="22"/>
      <c r="D53" s="22"/>
      <c r="E53" s="22"/>
      <c r="F53" s="22"/>
      <c r="G53" s="22"/>
      <c r="H53" s="22"/>
      <c r="I53" s="22"/>
      <c r="J53" s="22"/>
      <c r="K53" s="22"/>
      <c r="L53" s="22"/>
      <c r="M53" s="22"/>
      <c r="N53" s="22"/>
      <c r="O53" s="22"/>
    </row>
    <row r="54" customFormat="false" ht="15" hidden="false" customHeight="false" outlineLevel="0" collapsed="false">
      <c r="A54" s="22"/>
      <c r="B54" s="22"/>
      <c r="C54" s="22"/>
      <c r="D54" s="22"/>
      <c r="E54" s="22"/>
      <c r="F54" s="22"/>
      <c r="G54" s="22"/>
      <c r="H54" s="22"/>
      <c r="I54" s="22"/>
      <c r="J54" s="22"/>
      <c r="K54" s="22"/>
      <c r="L54" s="22"/>
      <c r="M54" s="22"/>
      <c r="N54" s="22"/>
      <c r="O54" s="22"/>
    </row>
    <row r="55" customFormat="false" ht="15" hidden="false" customHeight="false" outlineLevel="0" collapsed="false">
      <c r="A55" s="22"/>
      <c r="B55" s="22"/>
      <c r="C55" s="22"/>
      <c r="D55" s="22"/>
      <c r="E55" s="22"/>
      <c r="F55" s="22"/>
      <c r="G55" s="22"/>
      <c r="H55" s="22"/>
      <c r="I55" s="22"/>
      <c r="J55" s="22"/>
      <c r="K55" s="22"/>
      <c r="L55" s="22"/>
      <c r="M55" s="22"/>
      <c r="N55" s="22"/>
      <c r="O55" s="22"/>
    </row>
    <row r="56" customFormat="false" ht="15" hidden="false" customHeight="false" outlineLevel="0" collapsed="false">
      <c r="A56" s="22"/>
      <c r="B56" s="22"/>
      <c r="C56" s="22"/>
      <c r="D56" s="22"/>
      <c r="E56" s="22"/>
      <c r="F56" s="22"/>
      <c r="G56" s="22"/>
      <c r="H56" s="22"/>
      <c r="I56" s="22"/>
      <c r="J56" s="22"/>
      <c r="K56" s="22"/>
      <c r="L56" s="22"/>
      <c r="M56" s="22"/>
      <c r="N56" s="22"/>
      <c r="O56" s="22"/>
    </row>
    <row r="57" customFormat="false" ht="15" hidden="false" customHeight="false" outlineLevel="0" collapsed="false">
      <c r="A57" s="22"/>
      <c r="B57" s="22"/>
      <c r="C57" s="22"/>
      <c r="D57" s="22"/>
      <c r="E57" s="22"/>
      <c r="F57" s="22"/>
      <c r="G57" s="22"/>
      <c r="H57" s="22"/>
      <c r="I57" s="22"/>
      <c r="J57" s="22"/>
      <c r="K57" s="22"/>
      <c r="L57" s="22"/>
      <c r="M57" s="22"/>
      <c r="N57" s="22"/>
      <c r="O57" s="22"/>
    </row>
    <row r="58" customFormat="false" ht="15" hidden="false" customHeight="false" outlineLevel="0" collapsed="false">
      <c r="A58" s="22"/>
      <c r="B58" s="22"/>
      <c r="C58" s="22"/>
      <c r="D58" s="22"/>
      <c r="E58" s="22"/>
      <c r="F58" s="22"/>
      <c r="G58" s="22"/>
      <c r="H58" s="22"/>
      <c r="I58" s="22"/>
      <c r="J58" s="22"/>
      <c r="K58" s="22"/>
      <c r="L58" s="22"/>
      <c r="M58" s="22"/>
      <c r="N58" s="22"/>
      <c r="O58" s="22"/>
    </row>
    <row r="59" customFormat="false" ht="15" hidden="false" customHeight="false" outlineLevel="0" collapsed="false">
      <c r="A59" s="22"/>
      <c r="B59" s="22"/>
      <c r="C59" s="22"/>
      <c r="D59" s="22"/>
      <c r="E59" s="22"/>
      <c r="F59" s="22"/>
      <c r="G59" s="22"/>
      <c r="H59" s="22"/>
      <c r="I59" s="22"/>
      <c r="J59" s="22"/>
      <c r="K59" s="22"/>
      <c r="L59" s="22"/>
      <c r="M59" s="22"/>
      <c r="N59" s="22"/>
      <c r="O59" s="22"/>
    </row>
    <row r="60" customFormat="false" ht="15" hidden="false" customHeight="false" outlineLevel="0" collapsed="false">
      <c r="A60" s="22"/>
      <c r="B60" s="22"/>
      <c r="C60" s="22"/>
      <c r="D60" s="22"/>
      <c r="E60" s="22"/>
      <c r="F60" s="22"/>
      <c r="G60" s="22"/>
      <c r="H60" s="22"/>
      <c r="I60" s="22"/>
      <c r="J60" s="22"/>
      <c r="K60" s="22"/>
      <c r="L60" s="22"/>
      <c r="M60" s="22"/>
      <c r="N60" s="22"/>
      <c r="O60" s="22"/>
    </row>
  </sheetData>
  <mergeCells count="1">
    <mergeCell ref="Q2:U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7" min="2" style="0" width="20"/>
    <col collapsed="false" customWidth="true" hidden="false" outlineLevel="0" max="10" min="8" style="0" width="22"/>
  </cols>
  <sheetData>
    <row r="1" customFormat="false" ht="15" hidden="false" customHeight="false" outlineLevel="0" collapsed="false">
      <c r="A1" s="83" t="s">
        <v>231</v>
      </c>
    </row>
    <row r="3" customFormat="false" ht="15" hidden="false" customHeight="false" outlineLevel="0" collapsed="false">
      <c r="A3" s="84" t="s">
        <v>232</v>
      </c>
      <c r="B3" s="84" t="s">
        <v>233</v>
      </c>
      <c r="C3" s="84" t="s">
        <v>234</v>
      </c>
    </row>
    <row r="4" customFormat="false" ht="15" hidden="false" customHeight="false" outlineLevel="0" collapsed="false">
      <c r="A4" s="21" t="s">
        <v>235</v>
      </c>
      <c r="B4" s="85" t="n">
        <v>101325</v>
      </c>
      <c r="C4" s="6" t="s">
        <v>236</v>
      </c>
    </row>
    <row r="5" customFormat="false" ht="15" hidden="false" customHeight="false" outlineLevel="0" collapsed="false">
      <c r="A5" s="21" t="s">
        <v>237</v>
      </c>
      <c r="B5" s="85" t="n">
        <v>8314</v>
      </c>
      <c r="C5" s="6"/>
    </row>
    <row r="6" customFormat="false" ht="15" hidden="false" customHeight="false" outlineLevel="0" collapsed="false">
      <c r="A6" s="21" t="s">
        <v>238</v>
      </c>
      <c r="B6" s="85" t="n">
        <v>100</v>
      </c>
      <c r="C6" s="6" t="s">
        <v>239</v>
      </c>
    </row>
    <row r="7" customFormat="false" ht="15" hidden="false" customHeight="false" outlineLevel="0" collapsed="false">
      <c r="A7" s="21" t="s">
        <v>240</v>
      </c>
      <c r="B7" s="85" t="n">
        <v>0.1</v>
      </c>
      <c r="C7" s="6" t="s">
        <v>241</v>
      </c>
    </row>
    <row r="8" customFormat="false" ht="15" hidden="false" customHeight="false" outlineLevel="0" collapsed="false">
      <c r="A8" s="21" t="s">
        <v>242</v>
      </c>
      <c r="B8" s="85" t="n">
        <v>0.03</v>
      </c>
      <c r="C8" s="6" t="s">
        <v>243</v>
      </c>
    </row>
    <row r="9" customFormat="false" ht="15" hidden="false" customHeight="false" outlineLevel="0" collapsed="false">
      <c r="A9" s="21" t="s">
        <v>244</v>
      </c>
      <c r="B9" s="85" t="n">
        <v>293</v>
      </c>
      <c r="C9" s="6" t="s">
        <v>245</v>
      </c>
    </row>
    <row r="10" customFormat="false" ht="15" hidden="false" customHeight="false" outlineLevel="0" collapsed="false">
      <c r="A10" s="21" t="s">
        <v>246</v>
      </c>
      <c r="B10" s="85" t="n">
        <v>0.000416</v>
      </c>
      <c r="C10" s="6" t="s">
        <v>247</v>
      </c>
    </row>
    <row r="11" customFormat="false" ht="15" hidden="false" customHeight="false" outlineLevel="0" collapsed="false">
      <c r="A11" s="21" t="s">
        <v>248</v>
      </c>
      <c r="B11" s="85" t="n">
        <v>0.5</v>
      </c>
      <c r="C11" s="6" t="s">
        <v>249</v>
      </c>
    </row>
    <row r="13" customFormat="false" ht="15" hidden="false" customHeight="false" outlineLevel="0" collapsed="false">
      <c r="A13" s="4" t="s">
        <v>250</v>
      </c>
    </row>
    <row r="14" customFormat="false" ht="15" hidden="false" customHeight="false" outlineLevel="0" collapsed="false">
      <c r="A14" s="84" t="s">
        <v>39</v>
      </c>
      <c r="B14" s="84" t="s">
        <v>47</v>
      </c>
    </row>
    <row r="15" customFormat="false" ht="15" hidden="false" customHeight="false" outlineLevel="0" collapsed="false">
      <c r="A15" s="21" t="s">
        <v>62</v>
      </c>
      <c r="B15" s="85" t="n">
        <v>0.25</v>
      </c>
      <c r="C15" s="6" t="s">
        <v>251</v>
      </c>
    </row>
    <row r="16" customFormat="false" ht="15" hidden="false" customHeight="false" outlineLevel="0" collapsed="false">
      <c r="A16" s="21" t="s">
        <v>59</v>
      </c>
      <c r="B16" s="85" t="n">
        <v>0.25</v>
      </c>
    </row>
    <row r="17" customFormat="false" ht="15" hidden="false" customHeight="false" outlineLevel="0" collapsed="false">
      <c r="A17" s="21" t="s">
        <v>57</v>
      </c>
      <c r="B17" s="85" t="n">
        <v>0.5</v>
      </c>
    </row>
    <row r="20" customFormat="false" ht="15" hidden="false" customHeight="false" outlineLevel="0" collapsed="false">
      <c r="A20" s="4" t="s">
        <v>252</v>
      </c>
    </row>
    <row r="21" customFormat="false" ht="15" hidden="false" customHeight="false" outlineLevel="0" collapsed="false">
      <c r="A21" s="84" t="s">
        <v>253</v>
      </c>
      <c r="B21" s="11" t="s">
        <v>254</v>
      </c>
      <c r="C21" s="11" t="s">
        <v>255</v>
      </c>
      <c r="D21" s="11" t="s">
        <v>256</v>
      </c>
      <c r="E21" s="11" t="s">
        <v>257</v>
      </c>
      <c r="F21" s="11" t="s">
        <v>258</v>
      </c>
      <c r="G21" s="11" t="s">
        <v>259</v>
      </c>
      <c r="H21" s="11" t="s">
        <v>260</v>
      </c>
      <c r="I21" s="11" t="s">
        <v>261</v>
      </c>
      <c r="J21" s="11" t="s">
        <v>262</v>
      </c>
    </row>
    <row r="22" customFormat="false" ht="23.85" hidden="false" customHeight="false" outlineLevel="0" collapsed="false">
      <c r="A22" s="4" t="s">
        <v>62</v>
      </c>
      <c r="B22" s="86" t="s">
        <v>263</v>
      </c>
      <c r="C22" s="86" t="s">
        <v>264</v>
      </c>
      <c r="D22" s="86" t="s">
        <v>265</v>
      </c>
      <c r="E22" s="86" t="s">
        <v>266</v>
      </c>
      <c r="F22" s="86" t="s">
        <v>267</v>
      </c>
      <c r="G22" s="86" t="s">
        <v>268</v>
      </c>
      <c r="H22" s="86" t="s">
        <v>266</v>
      </c>
      <c r="I22" s="86" t="s">
        <v>266</v>
      </c>
      <c r="J22" s="86" t="s">
        <v>266</v>
      </c>
    </row>
    <row r="23" customFormat="false" ht="23.85" hidden="false" customHeight="false" outlineLevel="0" collapsed="false">
      <c r="A23" s="4" t="s">
        <v>59</v>
      </c>
      <c r="B23" s="86" t="s">
        <v>269</v>
      </c>
      <c r="C23" s="86" t="s">
        <v>270</v>
      </c>
      <c r="D23" s="86" t="s">
        <v>270</v>
      </c>
      <c r="E23" s="86" t="s">
        <v>271</v>
      </c>
      <c r="F23" s="86" t="s">
        <v>272</v>
      </c>
      <c r="G23" s="86" t="s">
        <v>272</v>
      </c>
      <c r="H23" s="86" t="s">
        <v>273</v>
      </c>
      <c r="I23" s="86" t="s">
        <v>273</v>
      </c>
      <c r="J23" s="86" t="s">
        <v>273</v>
      </c>
    </row>
    <row r="24" customFormat="false" ht="23.85" hidden="false" customHeight="false" outlineLevel="0" collapsed="false">
      <c r="A24" s="4" t="s">
        <v>57</v>
      </c>
      <c r="B24" s="86" t="s">
        <v>274</v>
      </c>
      <c r="C24" s="86" t="s">
        <v>274</v>
      </c>
      <c r="D24" s="86" t="s">
        <v>275</v>
      </c>
      <c r="E24" s="86" t="s">
        <v>275</v>
      </c>
      <c r="F24" s="86" t="s">
        <v>275</v>
      </c>
      <c r="G24" s="86" t="s">
        <v>275</v>
      </c>
      <c r="H24" s="86" t="s">
        <v>276</v>
      </c>
      <c r="I24" s="86" t="s">
        <v>276</v>
      </c>
      <c r="J24" s="86" t="s">
        <v>276</v>
      </c>
    </row>
    <row r="26" customFormat="false" ht="15" hidden="false" customHeight="false" outlineLevel="0" collapsed="false">
      <c r="A26" s="6" t="s">
        <v>277</v>
      </c>
    </row>
    <row r="29" customFormat="false" ht="15" hidden="false" customHeight="false" outlineLevel="0" collapsed="false">
      <c r="A29" s="4" t="s">
        <v>278</v>
      </c>
    </row>
    <row r="30" customFormat="false" ht="15" hidden="false" customHeight="false" outlineLevel="0" collapsed="false">
      <c r="A30" s="84" t="s">
        <v>279</v>
      </c>
      <c r="B30" s="84" t="s">
        <v>280</v>
      </c>
      <c r="C30" s="84" t="s">
        <v>281</v>
      </c>
    </row>
    <row r="31" customFormat="false" ht="15" hidden="false" customHeight="false" outlineLevel="0" collapsed="false">
      <c r="A31" s="21" t="n">
        <v>0</v>
      </c>
      <c r="B31" s="21" t="s">
        <v>282</v>
      </c>
      <c r="C31" s="21" t="n">
        <v>85</v>
      </c>
    </row>
    <row r="32" customFormat="false" ht="15" hidden="false" customHeight="false" outlineLevel="0" collapsed="false">
      <c r="A32" s="21" t="n">
        <v>85</v>
      </c>
      <c r="B32" s="21" t="s">
        <v>283</v>
      </c>
      <c r="C32" s="21" t="n">
        <v>85</v>
      </c>
    </row>
    <row r="33" customFormat="false" ht="15" hidden="false" customHeight="false" outlineLevel="0" collapsed="false">
      <c r="A33" s="21" t="n">
        <v>100</v>
      </c>
      <c r="B33" s="21" t="s">
        <v>284</v>
      </c>
      <c r="C33" s="21" t="n">
        <v>100</v>
      </c>
    </row>
    <row r="34" customFormat="false" ht="15" hidden="false" customHeight="false" outlineLevel="0" collapsed="false">
      <c r="A34" s="21" t="n">
        <v>135</v>
      </c>
      <c r="B34" s="21" t="s">
        <v>285</v>
      </c>
      <c r="C34" s="21" t="n">
        <v>135</v>
      </c>
    </row>
    <row r="35" customFormat="false" ht="15" hidden="false" customHeight="false" outlineLevel="0" collapsed="false">
      <c r="A35" s="21" t="n">
        <v>200</v>
      </c>
      <c r="B35" s="21" t="s">
        <v>286</v>
      </c>
      <c r="C35" s="21" t="n">
        <v>200</v>
      </c>
    </row>
    <row r="36" customFormat="false" ht="15" hidden="false" customHeight="false" outlineLevel="0" collapsed="false">
      <c r="A36" s="21" t="n">
        <v>300</v>
      </c>
      <c r="B36" s="21" t="s">
        <v>287</v>
      </c>
      <c r="C36" s="21" t="n">
        <v>300</v>
      </c>
    </row>
    <row r="37" customFormat="false" ht="15" hidden="false" customHeight="false" outlineLevel="0" collapsed="false">
      <c r="A37" s="21" t="n">
        <v>450</v>
      </c>
      <c r="B37" s="21" t="s">
        <v>288</v>
      </c>
      <c r="C37" s="21" t="n">
        <v>450</v>
      </c>
    </row>
    <row r="39" customFormat="false" ht="15" hidden="false" customHeight="false" outlineLevel="0" collapsed="false">
      <c r="A39" s="6" t="s">
        <v>289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11"/>
    <col collapsed="false" customWidth="true" hidden="false" outlineLevel="0" max="4" min="4" style="0" width="12"/>
    <col collapsed="false" customWidth="true" hidden="false" outlineLevel="0" max="5" min="5" style="0" width="9"/>
    <col collapsed="false" customWidth="true" hidden="false" outlineLevel="0" max="6" min="6" style="0" width="11"/>
    <col collapsed="false" customWidth="true" hidden="false" outlineLevel="0" max="7" min="7" style="0" width="50"/>
  </cols>
  <sheetData>
    <row r="1" customFormat="false" ht="31.5" hidden="false" customHeight="true" outlineLevel="0" collapsed="false">
      <c r="A1" s="11" t="s">
        <v>189</v>
      </c>
      <c r="B1" s="11" t="s">
        <v>194</v>
      </c>
      <c r="C1" s="11" t="s">
        <v>195</v>
      </c>
      <c r="D1" s="11" t="s">
        <v>196</v>
      </c>
      <c r="E1" s="11" t="s">
        <v>197</v>
      </c>
      <c r="F1" s="11" t="s">
        <v>290</v>
      </c>
      <c r="G1" s="11" t="s">
        <v>29</v>
      </c>
      <c r="I1" s="19" t="s">
        <v>291</v>
      </c>
      <c r="J1" s="19"/>
      <c r="K1" s="19"/>
      <c r="L1" s="19"/>
      <c r="M1" s="19"/>
      <c r="N1" s="19"/>
    </row>
    <row r="2" customFormat="false" ht="15" hidden="false" customHeight="false" outlineLevel="0" collapsed="false">
      <c r="A2" s="22" t="s">
        <v>205</v>
      </c>
      <c r="B2" s="22" t="s">
        <v>292</v>
      </c>
      <c r="C2" s="22" t="n">
        <v>430</v>
      </c>
      <c r="D2" s="22" t="n">
        <v>300</v>
      </c>
      <c r="E2" s="22" t="n">
        <v>30</v>
      </c>
      <c r="F2" s="22" t="n">
        <v>150</v>
      </c>
      <c r="G2" s="87" t="s">
        <v>293</v>
      </c>
      <c r="I2" s="19"/>
      <c r="J2" s="19"/>
      <c r="K2" s="19"/>
      <c r="L2" s="19"/>
      <c r="M2" s="19"/>
      <c r="N2" s="19"/>
    </row>
    <row r="3" customFormat="false" ht="15" hidden="false" customHeight="false" outlineLevel="0" collapsed="false">
      <c r="A3" s="22"/>
      <c r="B3" s="22"/>
      <c r="C3" s="22"/>
      <c r="D3" s="22"/>
      <c r="E3" s="22"/>
      <c r="F3" s="22"/>
      <c r="G3" s="22"/>
      <c r="I3" s="19"/>
      <c r="J3" s="19"/>
      <c r="K3" s="19"/>
      <c r="L3" s="19"/>
      <c r="M3" s="19"/>
      <c r="N3" s="19"/>
    </row>
    <row r="4" customFormat="false" ht="15" hidden="false" customHeight="false" outlineLevel="0" collapsed="false">
      <c r="A4" s="22"/>
      <c r="B4" s="22"/>
      <c r="C4" s="22"/>
      <c r="D4" s="22"/>
      <c r="E4" s="22"/>
      <c r="F4" s="22"/>
      <c r="G4" s="22"/>
      <c r="I4" s="19"/>
      <c r="J4" s="19"/>
      <c r="K4" s="19"/>
      <c r="L4" s="19"/>
      <c r="M4" s="19"/>
      <c r="N4" s="19"/>
    </row>
    <row r="5" customFormat="false" ht="15" hidden="false" customHeight="false" outlineLevel="0" collapsed="false">
      <c r="A5" s="22"/>
      <c r="B5" s="22"/>
      <c r="C5" s="22"/>
      <c r="D5" s="22"/>
      <c r="E5" s="22"/>
      <c r="F5" s="22"/>
      <c r="G5" s="22"/>
      <c r="I5" s="19"/>
      <c r="J5" s="19"/>
      <c r="K5" s="19"/>
      <c r="L5" s="19"/>
      <c r="M5" s="19"/>
      <c r="N5" s="19"/>
    </row>
    <row r="6" customFormat="false" ht="15" hidden="false" customHeight="false" outlineLevel="0" collapsed="false">
      <c r="A6" s="22"/>
      <c r="B6" s="22"/>
      <c r="C6" s="22"/>
      <c r="D6" s="22"/>
      <c r="E6" s="22"/>
      <c r="F6" s="22"/>
      <c r="G6" s="22"/>
      <c r="I6" s="19"/>
      <c r="J6" s="19"/>
      <c r="K6" s="19"/>
      <c r="L6" s="19"/>
      <c r="M6" s="19"/>
      <c r="N6" s="19"/>
    </row>
    <row r="7" customFormat="false" ht="15" hidden="false" customHeight="false" outlineLevel="0" collapsed="false">
      <c r="A7" s="22"/>
      <c r="B7" s="22"/>
      <c r="C7" s="22"/>
      <c r="D7" s="22"/>
      <c r="E7" s="22"/>
      <c r="F7" s="22"/>
      <c r="G7" s="22"/>
    </row>
    <row r="8" customFormat="false" ht="15" hidden="false" customHeight="false" outlineLevel="0" collapsed="false">
      <c r="A8" s="22"/>
      <c r="B8" s="22"/>
      <c r="C8" s="22"/>
      <c r="D8" s="22"/>
      <c r="E8" s="22"/>
      <c r="F8" s="22"/>
      <c r="G8" s="22"/>
    </row>
    <row r="9" customFormat="false" ht="15" hidden="false" customHeight="false" outlineLevel="0" collapsed="false">
      <c r="A9" s="22"/>
      <c r="B9" s="22"/>
      <c r="C9" s="22"/>
      <c r="D9" s="22"/>
      <c r="E9" s="22"/>
      <c r="F9" s="22"/>
      <c r="G9" s="22"/>
    </row>
    <row r="10" customFormat="false" ht="15" hidden="false" customHeight="false" outlineLevel="0" collapsed="false">
      <c r="A10" s="22"/>
      <c r="B10" s="22"/>
      <c r="C10" s="22"/>
      <c r="D10" s="22"/>
      <c r="E10" s="22"/>
      <c r="F10" s="22"/>
      <c r="G10" s="22"/>
    </row>
    <row r="11" customFormat="false" ht="15" hidden="false" customHeight="false" outlineLevel="0" collapsed="false">
      <c r="A11" s="22"/>
      <c r="B11" s="22"/>
      <c r="C11" s="22"/>
      <c r="D11" s="22"/>
      <c r="E11" s="22"/>
      <c r="F11" s="22"/>
      <c r="G11" s="22"/>
    </row>
    <row r="12" customFormat="false" ht="15" hidden="false" customHeight="false" outlineLevel="0" collapsed="false">
      <c r="A12" s="22"/>
      <c r="B12" s="22"/>
      <c r="C12" s="22"/>
      <c r="D12" s="22"/>
      <c r="E12" s="22"/>
      <c r="F12" s="22"/>
      <c r="G12" s="22"/>
    </row>
    <row r="13" customFormat="false" ht="15" hidden="false" customHeight="false" outlineLevel="0" collapsed="false">
      <c r="A13" s="22"/>
      <c r="B13" s="22"/>
      <c r="C13" s="22"/>
      <c r="D13" s="22"/>
      <c r="E13" s="22"/>
      <c r="F13" s="22"/>
      <c r="G13" s="22"/>
    </row>
    <row r="14" customFormat="false" ht="15" hidden="false" customHeight="false" outlineLevel="0" collapsed="false">
      <c r="A14" s="22"/>
      <c r="B14" s="22"/>
      <c r="C14" s="22"/>
      <c r="D14" s="22"/>
      <c r="E14" s="22"/>
      <c r="F14" s="22"/>
      <c r="G14" s="22"/>
    </row>
    <row r="15" customFormat="false" ht="15" hidden="false" customHeight="false" outlineLevel="0" collapsed="false">
      <c r="A15" s="22"/>
      <c r="B15" s="22"/>
      <c r="C15" s="22"/>
      <c r="D15" s="22"/>
      <c r="E15" s="22"/>
      <c r="F15" s="22"/>
      <c r="G15" s="22"/>
    </row>
    <row r="16" customFormat="false" ht="15" hidden="false" customHeight="false" outlineLevel="0" collapsed="false">
      <c r="A16" s="22"/>
      <c r="B16" s="22"/>
      <c r="C16" s="22"/>
      <c r="D16" s="22"/>
      <c r="E16" s="22"/>
      <c r="F16" s="22"/>
      <c r="G16" s="22"/>
    </row>
    <row r="17" customFormat="false" ht="15" hidden="false" customHeight="false" outlineLevel="0" collapsed="false">
      <c r="A17" s="22"/>
      <c r="B17" s="22"/>
      <c r="C17" s="22"/>
      <c r="D17" s="22"/>
      <c r="E17" s="22"/>
      <c r="F17" s="22"/>
      <c r="G17" s="22"/>
    </row>
    <row r="18" customFormat="false" ht="15" hidden="false" customHeight="false" outlineLevel="0" collapsed="false">
      <c r="A18" s="22"/>
      <c r="B18" s="22"/>
      <c r="C18" s="22"/>
      <c r="D18" s="22"/>
      <c r="E18" s="22"/>
      <c r="F18" s="22"/>
      <c r="G18" s="22"/>
    </row>
    <row r="19" customFormat="false" ht="15" hidden="false" customHeight="false" outlineLevel="0" collapsed="false">
      <c r="A19" s="22"/>
      <c r="B19" s="22"/>
      <c r="C19" s="22"/>
      <c r="D19" s="22"/>
      <c r="E19" s="22"/>
      <c r="F19" s="22"/>
      <c r="G19" s="22"/>
    </row>
    <row r="20" customFormat="false" ht="15" hidden="false" customHeight="false" outlineLevel="0" collapsed="false">
      <c r="A20" s="22"/>
      <c r="B20" s="22"/>
      <c r="C20" s="22"/>
      <c r="D20" s="22"/>
      <c r="E20" s="22"/>
      <c r="F20" s="22"/>
      <c r="G20" s="22"/>
    </row>
    <row r="21" customFormat="false" ht="15" hidden="false" customHeight="false" outlineLevel="0" collapsed="false">
      <c r="A21" s="22"/>
      <c r="B21" s="22"/>
      <c r="C21" s="22"/>
      <c r="D21" s="22"/>
      <c r="E21" s="22"/>
      <c r="F21" s="22"/>
      <c r="G21" s="22"/>
    </row>
    <row r="22" customFormat="false" ht="15" hidden="false" customHeight="false" outlineLevel="0" collapsed="false">
      <c r="A22" s="22"/>
      <c r="B22" s="22"/>
      <c r="C22" s="22"/>
      <c r="D22" s="22"/>
      <c r="E22" s="22"/>
      <c r="F22" s="22"/>
      <c r="G22" s="22"/>
    </row>
    <row r="23" customFormat="false" ht="15" hidden="false" customHeight="false" outlineLevel="0" collapsed="false">
      <c r="A23" s="22"/>
      <c r="B23" s="22"/>
      <c r="C23" s="22"/>
      <c r="D23" s="22"/>
      <c r="E23" s="22"/>
      <c r="F23" s="22"/>
      <c r="G23" s="22"/>
    </row>
    <row r="24" customFormat="false" ht="15" hidden="false" customHeight="false" outlineLevel="0" collapsed="false">
      <c r="A24" s="22"/>
      <c r="B24" s="22"/>
      <c r="C24" s="22"/>
      <c r="D24" s="22"/>
      <c r="E24" s="22"/>
      <c r="F24" s="22"/>
      <c r="G24" s="22"/>
    </row>
    <row r="25" customFormat="false" ht="15" hidden="false" customHeight="false" outlineLevel="0" collapsed="false">
      <c r="A25" s="22"/>
      <c r="B25" s="22"/>
      <c r="C25" s="22"/>
      <c r="D25" s="22"/>
      <c r="E25" s="22"/>
      <c r="F25" s="22"/>
      <c r="G25" s="22"/>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15" hidden="false" customHeight="false" outlineLevel="0" collapsed="false">
      <c r="A35" s="22"/>
      <c r="B35" s="22"/>
      <c r="C35" s="22"/>
      <c r="D35" s="22"/>
      <c r="E35" s="22"/>
      <c r="F35" s="22"/>
      <c r="G35" s="22"/>
    </row>
    <row r="36" customFormat="false" ht="15" hidden="false" customHeight="false" outlineLevel="0" collapsed="false">
      <c r="A36" s="22"/>
      <c r="B36" s="22"/>
      <c r="C36" s="22"/>
      <c r="D36" s="22"/>
      <c r="E36" s="22"/>
      <c r="F36" s="22"/>
      <c r="G36" s="22"/>
    </row>
    <row r="37" customFormat="false" ht="15" hidden="false" customHeight="false" outlineLevel="0" collapsed="false">
      <c r="A37" s="22"/>
      <c r="B37" s="22"/>
      <c r="C37" s="22"/>
      <c r="D37" s="22"/>
      <c r="E37" s="22"/>
      <c r="F37" s="22"/>
      <c r="G37" s="22"/>
    </row>
    <row r="38" customFormat="false" ht="15" hidden="false" customHeight="false" outlineLevel="0" collapsed="false">
      <c r="A38" s="22"/>
      <c r="B38" s="22"/>
      <c r="C38" s="22"/>
      <c r="D38" s="22"/>
      <c r="E38" s="22"/>
      <c r="F38" s="22"/>
      <c r="G38" s="22"/>
    </row>
    <row r="39" customFormat="false" ht="15" hidden="false" customHeight="false" outlineLevel="0" collapsed="false">
      <c r="A39" s="22"/>
      <c r="B39" s="22"/>
      <c r="C39" s="22"/>
      <c r="D39" s="22"/>
      <c r="E39" s="22"/>
      <c r="F39" s="22"/>
      <c r="G39" s="22"/>
    </row>
    <row r="40" customFormat="false" ht="15" hidden="false" customHeight="false" outlineLevel="0" collapsed="false">
      <c r="A40" s="22"/>
      <c r="B40" s="22"/>
      <c r="C40" s="22"/>
      <c r="D40" s="22"/>
      <c r="E40" s="22"/>
      <c r="F40" s="22"/>
      <c r="G40" s="22"/>
    </row>
  </sheetData>
  <mergeCells count="1">
    <mergeCell ref="I1:N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2026-10-28T11:33:32Z</dcterms:created>
  <dc:creator>openpyxl</dc:creator>
  <dc:description/>
  <dc:language>en-US</dc:language>
  <cp:lastModifiedBy/>
  <dcterms:modified xsi:type="dcterms:W3CDTF">2026-10-28T11:33:32Z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